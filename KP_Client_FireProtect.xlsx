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fireprotect_kp_bot_mvp\"/>
    </mc:Choice>
  </mc:AlternateContent>
  <xr:revisionPtr revIDLastSave="0" documentId="13_ncr:1_{4ECA2DDE-E880-40EF-B339-3D654B81840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KP_Client" sheetId="1" r:id="rId1"/>
    <sheet name="Introducere_interna" sheetId="2" r:id="rId2"/>
    <sheet name="Baza_preturi" sheetId="3" r:id="rId3"/>
    <sheet name="Sinonime" sheetId="4" r:id="rId4"/>
    <sheet name="Setari" sheetId="5" r:id="rId5"/>
  </sheets>
  <definedNames>
    <definedName name="_xlnm._FilterDatabase" localSheetId="1" hidden="1">Introducere_interna!$A$5:$H$95</definedName>
    <definedName name="_xlnm.Print_Titles" localSheetId="0">KP_Client!$1:$10</definedName>
  </definedNames>
  <calcPr calcId="191029" forceFullCalc="1"/>
</workbook>
</file>

<file path=xl/calcChain.xml><?xml version="1.0" encoding="utf-8"?>
<calcChain xmlns="http://schemas.openxmlformats.org/spreadsheetml/2006/main">
  <c r="H317" i="3" l="1"/>
  <c r="I317" i="3"/>
  <c r="H316" i="3"/>
  <c r="I316" i="3"/>
  <c r="I240" i="3"/>
  <c r="H240" i="3"/>
  <c r="I239" i="3"/>
  <c r="H239" i="3"/>
  <c r="I232" i="3"/>
  <c r="H232" i="3"/>
  <c r="I231" i="3"/>
  <c r="H231" i="3"/>
  <c r="I230" i="3"/>
  <c r="H230" i="3"/>
  <c r="I229" i="3"/>
  <c r="H229" i="3"/>
  <c r="I228" i="3"/>
  <c r="H228" i="3"/>
  <c r="H233" i="3"/>
  <c r="I233" i="3"/>
  <c r="I227" i="3"/>
  <c r="H227" i="3"/>
  <c r="I226" i="3"/>
  <c r="H226" i="3"/>
  <c r="I219" i="3"/>
  <c r="H219" i="3"/>
  <c r="I218" i="3"/>
  <c r="H218" i="3"/>
  <c r="I217" i="3"/>
  <c r="H217" i="3"/>
  <c r="I216" i="3"/>
  <c r="H216" i="3"/>
  <c r="I215" i="3"/>
  <c r="H215" i="3"/>
  <c r="I184" i="3"/>
  <c r="H184" i="3"/>
  <c r="I183" i="3"/>
  <c r="H183" i="3"/>
  <c r="I182" i="3"/>
  <c r="H182" i="3"/>
  <c r="I181" i="3"/>
  <c r="H181" i="3"/>
  <c r="I170" i="3"/>
  <c r="H170" i="3"/>
  <c r="I169" i="3"/>
  <c r="H169" i="3"/>
  <c r="I168" i="3"/>
  <c r="H168" i="3"/>
  <c r="I156" i="3"/>
  <c r="H156" i="3"/>
  <c r="I155" i="3"/>
  <c r="H155" i="3"/>
  <c r="I154" i="3"/>
  <c r="H154" i="3"/>
  <c r="I142" i="3"/>
  <c r="H142" i="3"/>
  <c r="I141" i="3"/>
  <c r="H141" i="3"/>
  <c r="I140" i="3"/>
  <c r="H140" i="3"/>
  <c r="I128" i="3"/>
  <c r="H128" i="3"/>
  <c r="I127" i="3"/>
  <c r="H127" i="3"/>
  <c r="I126" i="3"/>
  <c r="H126" i="3"/>
  <c r="I114" i="3"/>
  <c r="H114" i="3"/>
  <c r="I113" i="3"/>
  <c r="H113" i="3"/>
  <c r="H112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0" i="3"/>
  <c r="H70" i="3"/>
  <c r="I69" i="3"/>
  <c r="H69" i="3"/>
  <c r="I68" i="3"/>
  <c r="H68" i="3"/>
  <c r="I75" i="3"/>
  <c r="H75" i="3"/>
  <c r="I74" i="3"/>
  <c r="H74" i="3"/>
  <c r="I71" i="3"/>
  <c r="H71" i="3"/>
  <c r="I73" i="3"/>
  <c r="H73" i="3"/>
  <c r="I72" i="3"/>
  <c r="H72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7" i="3"/>
  <c r="H57" i="3"/>
  <c r="I59" i="3"/>
  <c r="H59" i="3"/>
  <c r="H58" i="3"/>
  <c r="I56" i="3"/>
  <c r="H56" i="3"/>
  <c r="I55" i="3"/>
  <c r="H55" i="3"/>
  <c r="I54" i="3"/>
  <c r="H54" i="3"/>
  <c r="H53" i="3"/>
  <c r="I52" i="3"/>
  <c r="H52" i="3"/>
  <c r="H50" i="3"/>
  <c r="I51" i="3"/>
  <c r="H51" i="3"/>
  <c r="I49" i="3"/>
  <c r="H49" i="3"/>
  <c r="I48" i="3"/>
  <c r="H48" i="3"/>
  <c r="H46" i="3"/>
  <c r="H45" i="3"/>
  <c r="H44" i="3"/>
  <c r="H43" i="3"/>
  <c r="H42" i="3"/>
  <c r="I40" i="3"/>
  <c r="H40" i="3"/>
  <c r="I39" i="3"/>
  <c r="H39" i="3"/>
  <c r="H41" i="3"/>
  <c r="I41" i="3"/>
  <c r="I37" i="3"/>
  <c r="H37" i="3"/>
  <c r="I36" i="3"/>
  <c r="H36" i="3"/>
  <c r="I35" i="3"/>
  <c r="H35" i="3"/>
  <c r="I34" i="3"/>
  <c r="H34" i="3"/>
  <c r="H33" i="3"/>
  <c r="I32" i="3"/>
  <c r="H32" i="3"/>
  <c r="I31" i="3"/>
  <c r="H31" i="3"/>
  <c r="I30" i="3"/>
  <c r="H30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0" i="3"/>
  <c r="H10" i="3"/>
  <c r="H6" i="3"/>
  <c r="I18" i="3"/>
  <c r="H18" i="3"/>
  <c r="I17" i="3"/>
  <c r="H17" i="3"/>
  <c r="I16" i="3"/>
  <c r="H16" i="3"/>
  <c r="I15" i="3"/>
  <c r="H15" i="3"/>
  <c r="I14" i="3"/>
  <c r="H14" i="3"/>
  <c r="I13" i="3"/>
  <c r="H13" i="3"/>
  <c r="H12" i="3"/>
  <c r="I9" i="3"/>
  <c r="H9" i="3"/>
  <c r="H8" i="3"/>
  <c r="I5" i="3"/>
  <c r="H5" i="3"/>
  <c r="I4" i="3"/>
  <c r="H4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H315" i="3"/>
  <c r="H314" i="3"/>
  <c r="H313" i="3"/>
  <c r="H312" i="3"/>
  <c r="H311" i="3"/>
  <c r="H310" i="3"/>
  <c r="H309" i="3"/>
  <c r="H308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H293" i="3"/>
  <c r="H292" i="3"/>
  <c r="H291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H282" i="3"/>
  <c r="I282" i="3" s="1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H259" i="3"/>
  <c r="I259" i="3" s="1"/>
  <c r="F21" i="2" s="1"/>
  <c r="G21" i="2" s="1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38" i="3"/>
  <c r="H238" i="3"/>
  <c r="I237" i="3"/>
  <c r="H237" i="3"/>
  <c r="I236" i="3"/>
  <c r="H236" i="3"/>
  <c r="I235" i="3"/>
  <c r="H235" i="3"/>
  <c r="I234" i="3"/>
  <c r="H234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H188" i="3"/>
  <c r="I187" i="3"/>
  <c r="H187" i="3"/>
  <c r="I186" i="3"/>
  <c r="H186" i="3"/>
  <c r="I185" i="3"/>
  <c r="H185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67" i="3"/>
  <c r="H167" i="3"/>
  <c r="I166" i="3"/>
  <c r="H166" i="3"/>
  <c r="I165" i="3"/>
  <c r="H165" i="3"/>
  <c r="H164" i="3"/>
  <c r="I163" i="3"/>
  <c r="H163" i="3"/>
  <c r="I162" i="3"/>
  <c r="H162" i="3"/>
  <c r="I161" i="3"/>
  <c r="H161" i="3"/>
  <c r="H160" i="3"/>
  <c r="H159" i="3"/>
  <c r="H158" i="3"/>
  <c r="I157" i="3"/>
  <c r="H157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39" i="3"/>
  <c r="H139" i="3"/>
  <c r="I138" i="3"/>
  <c r="H138" i="3"/>
  <c r="H137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H111" i="3"/>
  <c r="H110" i="3"/>
  <c r="H109" i="3"/>
  <c r="H108" i="3"/>
  <c r="H107" i="3"/>
  <c r="H106" i="3"/>
  <c r="H105" i="3"/>
  <c r="H104" i="3"/>
  <c r="H103" i="3"/>
  <c r="H102" i="3"/>
  <c r="I101" i="3"/>
  <c r="H101" i="3"/>
  <c r="I47" i="3"/>
  <c r="H47" i="3"/>
  <c r="H38" i="3"/>
  <c r="I38" i="3" s="1"/>
  <c r="F7" i="2"/>
  <c r="G7" i="2" s="1"/>
  <c r="H11" i="3"/>
  <c r="I11" i="3" s="1"/>
  <c r="H7" i="3"/>
  <c r="I7" i="3" s="1"/>
  <c r="H3" i="3"/>
  <c r="H2" i="3"/>
  <c r="I2" i="3" s="1"/>
  <c r="F6" i="2" s="1"/>
  <c r="G6" i="2" s="1"/>
  <c r="H95" i="2"/>
  <c r="F95" i="2"/>
  <c r="G95" i="2" s="1"/>
  <c r="D95" i="2"/>
  <c r="C95" i="2"/>
  <c r="H94" i="2"/>
  <c r="F94" i="2"/>
  <c r="G94" i="2" s="1"/>
  <c r="D94" i="2"/>
  <c r="C94" i="2"/>
  <c r="H93" i="2"/>
  <c r="F93" i="2"/>
  <c r="G93" i="2" s="1"/>
  <c r="D93" i="2"/>
  <c r="C93" i="2"/>
  <c r="H92" i="2"/>
  <c r="F92" i="2"/>
  <c r="G92" i="2" s="1"/>
  <c r="D92" i="2"/>
  <c r="C92" i="2"/>
  <c r="H91" i="2"/>
  <c r="F91" i="2"/>
  <c r="G91" i="2" s="1"/>
  <c r="D91" i="2"/>
  <c r="C91" i="2"/>
  <c r="H90" i="2"/>
  <c r="F90" i="2"/>
  <c r="G90" i="2" s="1"/>
  <c r="D90" i="2"/>
  <c r="C90" i="2"/>
  <c r="H89" i="2"/>
  <c r="F89" i="2"/>
  <c r="G89" i="2" s="1"/>
  <c r="D89" i="2"/>
  <c r="C89" i="2"/>
  <c r="H88" i="2"/>
  <c r="F88" i="2"/>
  <c r="G88" i="2" s="1"/>
  <c r="D88" i="2"/>
  <c r="C88" i="2"/>
  <c r="H87" i="2"/>
  <c r="F87" i="2"/>
  <c r="G87" i="2" s="1"/>
  <c r="D87" i="2"/>
  <c r="C87" i="2"/>
  <c r="H86" i="2"/>
  <c r="F86" i="2"/>
  <c r="G86" i="2" s="1"/>
  <c r="D86" i="2"/>
  <c r="C86" i="2"/>
  <c r="H85" i="2"/>
  <c r="F85" i="2"/>
  <c r="G85" i="2" s="1"/>
  <c r="D85" i="2"/>
  <c r="C85" i="2"/>
  <c r="H84" i="2"/>
  <c r="F84" i="2"/>
  <c r="G84" i="2" s="1"/>
  <c r="D84" i="2"/>
  <c r="C84" i="2"/>
  <c r="H83" i="2"/>
  <c r="F83" i="2"/>
  <c r="G83" i="2" s="1"/>
  <c r="D83" i="2"/>
  <c r="C83" i="2"/>
  <c r="H82" i="2"/>
  <c r="F82" i="2"/>
  <c r="G82" i="2" s="1"/>
  <c r="D82" i="2"/>
  <c r="C82" i="2"/>
  <c r="H81" i="2"/>
  <c r="F81" i="2"/>
  <c r="G81" i="2" s="1"/>
  <c r="D81" i="2"/>
  <c r="C81" i="2"/>
  <c r="H80" i="2"/>
  <c r="F80" i="2"/>
  <c r="G80" i="2" s="1"/>
  <c r="D80" i="2"/>
  <c r="C80" i="2"/>
  <c r="H79" i="2"/>
  <c r="F79" i="2"/>
  <c r="G79" i="2" s="1"/>
  <c r="D79" i="2"/>
  <c r="C79" i="2"/>
  <c r="H78" i="2"/>
  <c r="F78" i="2"/>
  <c r="G78" i="2" s="1"/>
  <c r="D78" i="2"/>
  <c r="C78" i="2"/>
  <c r="H77" i="2"/>
  <c r="F77" i="2"/>
  <c r="G77" i="2" s="1"/>
  <c r="D77" i="2"/>
  <c r="C77" i="2"/>
  <c r="H76" i="2"/>
  <c r="F76" i="2"/>
  <c r="G76" i="2" s="1"/>
  <c r="D76" i="2"/>
  <c r="C76" i="2"/>
  <c r="H75" i="2"/>
  <c r="F75" i="2"/>
  <c r="G75" i="2" s="1"/>
  <c r="D75" i="2"/>
  <c r="C75" i="2"/>
  <c r="H74" i="2"/>
  <c r="F74" i="2"/>
  <c r="G74" i="2" s="1"/>
  <c r="D74" i="2"/>
  <c r="C74" i="2"/>
  <c r="H73" i="2"/>
  <c r="F73" i="2"/>
  <c r="G73" i="2" s="1"/>
  <c r="D73" i="2"/>
  <c r="C73" i="2"/>
  <c r="H72" i="2"/>
  <c r="F72" i="2"/>
  <c r="G72" i="2" s="1"/>
  <c r="D72" i="2"/>
  <c r="C72" i="2"/>
  <c r="H71" i="2"/>
  <c r="F71" i="2"/>
  <c r="G71" i="2" s="1"/>
  <c r="D71" i="2"/>
  <c r="C71" i="2"/>
  <c r="H70" i="2"/>
  <c r="F70" i="2"/>
  <c r="G70" i="2" s="1"/>
  <c r="D70" i="2"/>
  <c r="C70" i="2"/>
  <c r="H69" i="2"/>
  <c r="F69" i="2"/>
  <c r="G69" i="2" s="1"/>
  <c r="D69" i="2"/>
  <c r="C69" i="2"/>
  <c r="H68" i="2"/>
  <c r="F68" i="2"/>
  <c r="G68" i="2" s="1"/>
  <c r="D68" i="2"/>
  <c r="C68" i="2"/>
  <c r="H67" i="2"/>
  <c r="F67" i="2"/>
  <c r="G67" i="2" s="1"/>
  <c r="D67" i="2"/>
  <c r="C67" i="2"/>
  <c r="H66" i="2"/>
  <c r="F66" i="2"/>
  <c r="G66" i="2" s="1"/>
  <c r="D66" i="2"/>
  <c r="C66" i="2"/>
  <c r="H65" i="2"/>
  <c r="F65" i="2"/>
  <c r="G65" i="2" s="1"/>
  <c r="D65" i="2"/>
  <c r="C65" i="2"/>
  <c r="H64" i="2"/>
  <c r="F64" i="2"/>
  <c r="G64" i="2" s="1"/>
  <c r="D64" i="2"/>
  <c r="C64" i="2"/>
  <c r="H63" i="2"/>
  <c r="F63" i="2"/>
  <c r="G63" i="2" s="1"/>
  <c r="D63" i="2"/>
  <c r="C63" i="2"/>
  <c r="H62" i="2"/>
  <c r="F62" i="2"/>
  <c r="G62" i="2" s="1"/>
  <c r="D62" i="2"/>
  <c r="C62" i="2"/>
  <c r="H61" i="2"/>
  <c r="F61" i="2"/>
  <c r="G61" i="2" s="1"/>
  <c r="D61" i="2"/>
  <c r="C61" i="2"/>
  <c r="H60" i="2"/>
  <c r="F60" i="2"/>
  <c r="G60" i="2" s="1"/>
  <c r="D60" i="2"/>
  <c r="C60" i="2"/>
  <c r="H59" i="2"/>
  <c r="F59" i="2"/>
  <c r="G59" i="2" s="1"/>
  <c r="D59" i="2"/>
  <c r="C59" i="2"/>
  <c r="H58" i="2"/>
  <c r="F58" i="2"/>
  <c r="G58" i="2" s="1"/>
  <c r="D58" i="2"/>
  <c r="C58" i="2"/>
  <c r="H57" i="2"/>
  <c r="F57" i="2"/>
  <c r="G57" i="2" s="1"/>
  <c r="D57" i="2"/>
  <c r="C57" i="2"/>
  <c r="H56" i="2"/>
  <c r="F56" i="2"/>
  <c r="G56" i="2" s="1"/>
  <c r="D56" i="2"/>
  <c r="C56" i="2"/>
  <c r="H55" i="2"/>
  <c r="F55" i="2"/>
  <c r="G55" i="2" s="1"/>
  <c r="D55" i="2"/>
  <c r="C55" i="2"/>
  <c r="H54" i="2"/>
  <c r="F54" i="2"/>
  <c r="G54" i="2" s="1"/>
  <c r="D54" i="2"/>
  <c r="C54" i="2"/>
  <c r="H53" i="2"/>
  <c r="F53" i="2"/>
  <c r="G53" i="2" s="1"/>
  <c r="D53" i="2"/>
  <c r="C53" i="2"/>
  <c r="H52" i="2"/>
  <c r="F52" i="2"/>
  <c r="G52" i="2" s="1"/>
  <c r="D52" i="2"/>
  <c r="C52" i="2"/>
  <c r="H51" i="2"/>
  <c r="F51" i="2"/>
  <c r="G51" i="2" s="1"/>
  <c r="D51" i="2"/>
  <c r="C51" i="2"/>
  <c r="H50" i="2"/>
  <c r="F50" i="2"/>
  <c r="G50" i="2" s="1"/>
  <c r="D50" i="2"/>
  <c r="C50" i="2"/>
  <c r="H49" i="2"/>
  <c r="F49" i="2"/>
  <c r="G49" i="2" s="1"/>
  <c r="D49" i="2"/>
  <c r="C49" i="2"/>
  <c r="H48" i="2"/>
  <c r="F48" i="2"/>
  <c r="G48" i="2" s="1"/>
  <c r="D48" i="2"/>
  <c r="C48" i="2"/>
  <c r="H47" i="2"/>
  <c r="F47" i="2"/>
  <c r="G47" i="2" s="1"/>
  <c r="D47" i="2"/>
  <c r="C47" i="2"/>
  <c r="H46" i="2"/>
  <c r="F46" i="2"/>
  <c r="G46" i="2" s="1"/>
  <c r="D46" i="2"/>
  <c r="C46" i="2"/>
  <c r="H45" i="2"/>
  <c r="F45" i="2"/>
  <c r="G45" i="2" s="1"/>
  <c r="D45" i="2"/>
  <c r="C45" i="2"/>
  <c r="H44" i="2"/>
  <c r="F44" i="2"/>
  <c r="G44" i="2" s="1"/>
  <c r="D44" i="2"/>
  <c r="C44" i="2"/>
  <c r="H43" i="2"/>
  <c r="F43" i="2"/>
  <c r="G43" i="2" s="1"/>
  <c r="D43" i="2"/>
  <c r="C43" i="2"/>
  <c r="H42" i="2"/>
  <c r="F42" i="2"/>
  <c r="G42" i="2" s="1"/>
  <c r="D42" i="2"/>
  <c r="C42" i="2"/>
  <c r="H41" i="2"/>
  <c r="F41" i="2"/>
  <c r="G41" i="2" s="1"/>
  <c r="D41" i="2"/>
  <c r="C41" i="2"/>
  <c r="H40" i="2"/>
  <c r="F40" i="2"/>
  <c r="G40" i="2" s="1"/>
  <c r="D40" i="2"/>
  <c r="C40" i="2"/>
  <c r="H39" i="2"/>
  <c r="F39" i="2"/>
  <c r="G39" i="2" s="1"/>
  <c r="D39" i="2"/>
  <c r="C39" i="2"/>
  <c r="H38" i="2"/>
  <c r="F38" i="2"/>
  <c r="G38" i="2" s="1"/>
  <c r="D38" i="2"/>
  <c r="C38" i="2"/>
  <c r="H37" i="2"/>
  <c r="F37" i="2"/>
  <c r="G37" i="2" s="1"/>
  <c r="D37" i="2"/>
  <c r="C37" i="2"/>
  <c r="H36" i="2"/>
  <c r="F36" i="2"/>
  <c r="G36" i="2" s="1"/>
  <c r="D36" i="2"/>
  <c r="C36" i="2"/>
  <c r="H35" i="2"/>
  <c r="F35" i="2"/>
  <c r="G35" i="2" s="1"/>
  <c r="D35" i="2"/>
  <c r="C35" i="2"/>
  <c r="H34" i="2"/>
  <c r="F34" i="2"/>
  <c r="G34" i="2" s="1"/>
  <c r="D34" i="2"/>
  <c r="C34" i="2"/>
  <c r="H33" i="2"/>
  <c r="F33" i="2"/>
  <c r="G33" i="2" s="1"/>
  <c r="D33" i="2"/>
  <c r="C85" i="1" s="1"/>
  <c r="C33" i="2"/>
  <c r="B85" i="1" s="1"/>
  <c r="H32" i="2"/>
  <c r="F32" i="2"/>
  <c r="G32" i="2" s="1"/>
  <c r="D32" i="2"/>
  <c r="C32" i="2"/>
  <c r="H31" i="2"/>
  <c r="F31" i="2"/>
  <c r="G31" i="2" s="1"/>
  <c r="D31" i="2"/>
  <c r="C31" i="2"/>
  <c r="H30" i="2"/>
  <c r="F30" i="2"/>
  <c r="G30" i="2" s="1"/>
  <c r="D30" i="2"/>
  <c r="C30" i="2"/>
  <c r="H29" i="2"/>
  <c r="F29" i="2"/>
  <c r="G29" i="2" s="1"/>
  <c r="D29" i="2"/>
  <c r="C29" i="2"/>
  <c r="H28" i="2"/>
  <c r="F28" i="2"/>
  <c r="G28" i="2" s="1"/>
  <c r="D28" i="2"/>
  <c r="C28" i="2"/>
  <c r="H27" i="2"/>
  <c r="F27" i="2"/>
  <c r="G27" i="2" s="1"/>
  <c r="D27" i="2"/>
  <c r="C27" i="2"/>
  <c r="H26" i="2"/>
  <c r="F26" i="2"/>
  <c r="G26" i="2" s="1"/>
  <c r="D26" i="2"/>
  <c r="C26" i="2"/>
  <c r="H25" i="2"/>
  <c r="F25" i="2"/>
  <c r="G25" i="2" s="1"/>
  <c r="D25" i="2"/>
  <c r="C25" i="2"/>
  <c r="H24" i="2"/>
  <c r="F24" i="2"/>
  <c r="G24" i="2" s="1"/>
  <c r="D24" i="2"/>
  <c r="C24" i="2"/>
  <c r="H23" i="2"/>
  <c r="F23" i="2"/>
  <c r="G23" i="2" s="1"/>
  <c r="D23" i="2"/>
  <c r="C23" i="2"/>
  <c r="H22" i="2"/>
  <c r="F22" i="2"/>
  <c r="G22" i="2" s="1"/>
  <c r="D22" i="2"/>
  <c r="C22" i="2"/>
  <c r="H21" i="2"/>
  <c r="D21" i="2"/>
  <c r="C21" i="2"/>
  <c r="H20" i="2"/>
  <c r="F20" i="2"/>
  <c r="G20" i="2" s="1"/>
  <c r="D20" i="2"/>
  <c r="C20" i="2"/>
  <c r="H19" i="2"/>
  <c r="F19" i="2"/>
  <c r="G19" i="2" s="1"/>
  <c r="F49" i="1" s="1"/>
  <c r="D19" i="2"/>
  <c r="C49" i="1" s="1"/>
  <c r="C19" i="2"/>
  <c r="B49" i="1" s="1"/>
  <c r="H18" i="2"/>
  <c r="F18" i="2"/>
  <c r="G18" i="2" s="1"/>
  <c r="F48" i="1" s="1"/>
  <c r="D18" i="2"/>
  <c r="C48" i="1" s="1"/>
  <c r="C18" i="2"/>
  <c r="B48" i="1" s="1"/>
  <c r="H17" i="2"/>
  <c r="F17" i="2"/>
  <c r="G17" i="2" s="1"/>
  <c r="F47" i="1" s="1"/>
  <c r="D17" i="2"/>
  <c r="C47" i="1" s="1"/>
  <c r="C17" i="2"/>
  <c r="B47" i="1" s="1"/>
  <c r="H16" i="2"/>
  <c r="F16" i="2"/>
  <c r="E46" i="1" s="1"/>
  <c r="D16" i="2"/>
  <c r="C46" i="1" s="1"/>
  <c r="C16" i="2"/>
  <c r="B46" i="1" s="1"/>
  <c r="H15" i="2"/>
  <c r="F15" i="2"/>
  <c r="E45" i="1" s="1"/>
  <c r="D15" i="2"/>
  <c r="C45" i="1" s="1"/>
  <c r="C15" i="2"/>
  <c r="B45" i="1" s="1"/>
  <c r="H14" i="2"/>
  <c r="F14" i="2"/>
  <c r="G14" i="2" s="1"/>
  <c r="D14" i="2"/>
  <c r="C14" i="2"/>
  <c r="H13" i="2"/>
  <c r="F13" i="2"/>
  <c r="G13" i="2" s="1"/>
  <c r="D13" i="2"/>
  <c r="C13" i="2"/>
  <c r="H12" i="2"/>
  <c r="D12" i="2"/>
  <c r="C12" i="2"/>
  <c r="H11" i="2"/>
  <c r="F11" i="2"/>
  <c r="G11" i="2" s="1"/>
  <c r="D11" i="2"/>
  <c r="C11" i="2"/>
  <c r="H10" i="2"/>
  <c r="D10" i="2"/>
  <c r="C10" i="2"/>
  <c r="H9" i="2"/>
  <c r="D9" i="2"/>
  <c r="C9" i="2"/>
  <c r="H8" i="2"/>
  <c r="D8" i="2"/>
  <c r="C8" i="2"/>
  <c r="H7" i="2"/>
  <c r="D7" i="2"/>
  <c r="C7" i="2"/>
  <c r="H6" i="2"/>
  <c r="D6" i="2"/>
  <c r="C6" i="2"/>
  <c r="F204" i="1"/>
  <c r="E204" i="1"/>
  <c r="D204" i="1"/>
  <c r="C204" i="1"/>
  <c r="B204" i="1"/>
  <c r="A204" i="1"/>
  <c r="F203" i="1"/>
  <c r="E203" i="1"/>
  <c r="D203" i="1"/>
  <c r="C203" i="1"/>
  <c r="B203" i="1"/>
  <c r="A203" i="1"/>
  <c r="F202" i="1"/>
  <c r="E202" i="1"/>
  <c r="D202" i="1"/>
  <c r="C202" i="1"/>
  <c r="B202" i="1"/>
  <c r="A202" i="1"/>
  <c r="F201" i="1"/>
  <c r="E201" i="1"/>
  <c r="D201" i="1"/>
  <c r="C201" i="1"/>
  <c r="B201" i="1"/>
  <c r="A201" i="1"/>
  <c r="F200" i="1"/>
  <c r="E200" i="1"/>
  <c r="D200" i="1"/>
  <c r="C200" i="1"/>
  <c r="B200" i="1"/>
  <c r="A200" i="1"/>
  <c r="F199" i="1"/>
  <c r="E199" i="1"/>
  <c r="D199" i="1"/>
  <c r="C199" i="1"/>
  <c r="B199" i="1"/>
  <c r="A199" i="1"/>
  <c r="F198" i="1"/>
  <c r="E198" i="1"/>
  <c r="D198" i="1"/>
  <c r="C198" i="1"/>
  <c r="B198" i="1"/>
  <c r="A198" i="1"/>
  <c r="F197" i="1"/>
  <c r="E197" i="1"/>
  <c r="D197" i="1"/>
  <c r="C197" i="1"/>
  <c r="B197" i="1"/>
  <c r="A197" i="1"/>
  <c r="F196" i="1"/>
  <c r="E196" i="1"/>
  <c r="D196" i="1"/>
  <c r="C196" i="1"/>
  <c r="B196" i="1"/>
  <c r="A196" i="1"/>
  <c r="F195" i="1"/>
  <c r="E195" i="1"/>
  <c r="D195" i="1"/>
  <c r="C195" i="1"/>
  <c r="B195" i="1"/>
  <c r="A195" i="1"/>
  <c r="F194" i="1"/>
  <c r="E194" i="1"/>
  <c r="D194" i="1"/>
  <c r="C194" i="1"/>
  <c r="B194" i="1"/>
  <c r="A194" i="1"/>
  <c r="F193" i="1"/>
  <c r="E193" i="1"/>
  <c r="D193" i="1"/>
  <c r="C193" i="1"/>
  <c r="B193" i="1"/>
  <c r="A193" i="1"/>
  <c r="F192" i="1"/>
  <c r="E192" i="1"/>
  <c r="D192" i="1"/>
  <c r="C192" i="1"/>
  <c r="B192" i="1"/>
  <c r="A192" i="1"/>
  <c r="F191" i="1"/>
  <c r="E191" i="1"/>
  <c r="D191" i="1"/>
  <c r="C191" i="1"/>
  <c r="B191" i="1"/>
  <c r="A191" i="1"/>
  <c r="F190" i="1"/>
  <c r="E190" i="1"/>
  <c r="D190" i="1"/>
  <c r="C190" i="1"/>
  <c r="B190" i="1"/>
  <c r="A190" i="1"/>
  <c r="F185" i="1"/>
  <c r="E185" i="1"/>
  <c r="D185" i="1"/>
  <c r="C185" i="1"/>
  <c r="B185" i="1"/>
  <c r="A185" i="1"/>
  <c r="F184" i="1"/>
  <c r="E184" i="1"/>
  <c r="D184" i="1"/>
  <c r="C184" i="1"/>
  <c r="B184" i="1"/>
  <c r="A184" i="1"/>
  <c r="F183" i="1"/>
  <c r="E183" i="1"/>
  <c r="D183" i="1"/>
  <c r="C183" i="1"/>
  <c r="B183" i="1"/>
  <c r="A183" i="1"/>
  <c r="F182" i="1"/>
  <c r="E182" i="1"/>
  <c r="D182" i="1"/>
  <c r="C182" i="1"/>
  <c r="B182" i="1"/>
  <c r="A182" i="1"/>
  <c r="F181" i="1"/>
  <c r="E181" i="1"/>
  <c r="D181" i="1"/>
  <c r="C181" i="1"/>
  <c r="B181" i="1"/>
  <c r="A181" i="1"/>
  <c r="F180" i="1"/>
  <c r="E180" i="1"/>
  <c r="D180" i="1"/>
  <c r="C180" i="1"/>
  <c r="B180" i="1"/>
  <c r="A180" i="1"/>
  <c r="F179" i="1"/>
  <c r="E179" i="1"/>
  <c r="D179" i="1"/>
  <c r="C179" i="1"/>
  <c r="B179" i="1"/>
  <c r="A179" i="1"/>
  <c r="F178" i="1"/>
  <c r="E178" i="1"/>
  <c r="D178" i="1"/>
  <c r="C178" i="1"/>
  <c r="B178" i="1"/>
  <c r="A178" i="1"/>
  <c r="F177" i="1"/>
  <c r="E177" i="1"/>
  <c r="D177" i="1"/>
  <c r="C177" i="1"/>
  <c r="B177" i="1"/>
  <c r="A177" i="1"/>
  <c r="F176" i="1"/>
  <c r="E176" i="1"/>
  <c r="D176" i="1"/>
  <c r="C176" i="1"/>
  <c r="B176" i="1"/>
  <c r="A176" i="1"/>
  <c r="F175" i="1"/>
  <c r="E175" i="1"/>
  <c r="D175" i="1"/>
  <c r="C175" i="1"/>
  <c r="B175" i="1"/>
  <c r="A175" i="1"/>
  <c r="F174" i="1"/>
  <c r="E174" i="1"/>
  <c r="D174" i="1"/>
  <c r="C174" i="1"/>
  <c r="B174" i="1"/>
  <c r="A174" i="1"/>
  <c r="F173" i="1"/>
  <c r="E173" i="1"/>
  <c r="D173" i="1"/>
  <c r="C173" i="1"/>
  <c r="B173" i="1"/>
  <c r="A173" i="1"/>
  <c r="F152" i="1"/>
  <c r="E152" i="1"/>
  <c r="D152" i="1"/>
  <c r="C152" i="1"/>
  <c r="B152" i="1"/>
  <c r="A152" i="1"/>
  <c r="F151" i="1"/>
  <c r="E151" i="1"/>
  <c r="D151" i="1"/>
  <c r="C151" i="1"/>
  <c r="B151" i="1"/>
  <c r="A151" i="1"/>
  <c r="F146" i="1"/>
  <c r="E146" i="1"/>
  <c r="D146" i="1"/>
  <c r="C146" i="1"/>
  <c r="B146" i="1"/>
  <c r="A146" i="1"/>
  <c r="F145" i="1"/>
  <c r="E145" i="1"/>
  <c r="D145" i="1"/>
  <c r="C145" i="1"/>
  <c r="B145" i="1"/>
  <c r="A145" i="1"/>
  <c r="F144" i="1"/>
  <c r="E144" i="1"/>
  <c r="D144" i="1"/>
  <c r="C144" i="1"/>
  <c r="B144" i="1"/>
  <c r="A144" i="1"/>
  <c r="F143" i="1"/>
  <c r="E143" i="1"/>
  <c r="D143" i="1"/>
  <c r="C143" i="1"/>
  <c r="B143" i="1"/>
  <c r="A143" i="1"/>
  <c r="F142" i="1"/>
  <c r="E142" i="1"/>
  <c r="D142" i="1"/>
  <c r="C142" i="1"/>
  <c r="B142" i="1"/>
  <c r="A142" i="1"/>
  <c r="F141" i="1"/>
  <c r="E141" i="1"/>
  <c r="D141" i="1"/>
  <c r="C141" i="1"/>
  <c r="B141" i="1"/>
  <c r="A141" i="1"/>
  <c r="F140" i="1"/>
  <c r="E140" i="1"/>
  <c r="D140" i="1"/>
  <c r="C140" i="1"/>
  <c r="B140" i="1"/>
  <c r="A140" i="1"/>
  <c r="F139" i="1"/>
  <c r="E139" i="1"/>
  <c r="D139" i="1"/>
  <c r="C139" i="1"/>
  <c r="B139" i="1"/>
  <c r="A139" i="1"/>
  <c r="F138" i="1"/>
  <c r="E138" i="1"/>
  <c r="D138" i="1"/>
  <c r="C138" i="1"/>
  <c r="B138" i="1"/>
  <c r="A138" i="1"/>
  <c r="F137" i="1"/>
  <c r="E137" i="1"/>
  <c r="D137" i="1"/>
  <c r="C137" i="1"/>
  <c r="B137" i="1"/>
  <c r="A137" i="1"/>
  <c r="F136" i="1"/>
  <c r="E136" i="1"/>
  <c r="D136" i="1"/>
  <c r="C136" i="1"/>
  <c r="B136" i="1"/>
  <c r="A136" i="1"/>
  <c r="F135" i="1"/>
  <c r="E135" i="1"/>
  <c r="D135" i="1"/>
  <c r="C135" i="1"/>
  <c r="B135" i="1"/>
  <c r="A135" i="1"/>
  <c r="F134" i="1"/>
  <c r="E134" i="1"/>
  <c r="D134" i="1"/>
  <c r="C134" i="1"/>
  <c r="B134" i="1"/>
  <c r="A134" i="1"/>
  <c r="F123" i="1"/>
  <c r="E123" i="1"/>
  <c r="D123" i="1"/>
  <c r="C123" i="1"/>
  <c r="B123" i="1"/>
  <c r="A123" i="1"/>
  <c r="F122" i="1"/>
  <c r="E122" i="1"/>
  <c r="D122" i="1"/>
  <c r="C122" i="1"/>
  <c r="B122" i="1"/>
  <c r="A122" i="1"/>
  <c r="F117" i="1"/>
  <c r="E117" i="1"/>
  <c r="D117" i="1"/>
  <c r="C117" i="1"/>
  <c r="B117" i="1"/>
  <c r="A117" i="1"/>
  <c r="F116" i="1"/>
  <c r="E116" i="1"/>
  <c r="D116" i="1"/>
  <c r="C116" i="1"/>
  <c r="B116" i="1"/>
  <c r="A116" i="1"/>
  <c r="F115" i="1"/>
  <c r="E115" i="1"/>
  <c r="D115" i="1"/>
  <c r="C115" i="1"/>
  <c r="B115" i="1"/>
  <c r="A115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/>
  <c r="F111" i="1"/>
  <c r="E111" i="1"/>
  <c r="D111" i="1"/>
  <c r="C111" i="1"/>
  <c r="B111" i="1"/>
  <c r="A111" i="1"/>
  <c r="F110" i="1"/>
  <c r="E110" i="1"/>
  <c r="D110" i="1"/>
  <c r="C110" i="1"/>
  <c r="B110" i="1"/>
  <c r="A110" i="1"/>
  <c r="F93" i="1"/>
  <c r="E93" i="1"/>
  <c r="D93" i="1"/>
  <c r="C93" i="1"/>
  <c r="B93" i="1"/>
  <c r="A93" i="1"/>
  <c r="F92" i="1"/>
  <c r="E92" i="1"/>
  <c r="D92" i="1"/>
  <c r="C92" i="1"/>
  <c r="B92" i="1"/>
  <c r="A92" i="1"/>
  <c r="F87" i="1"/>
  <c r="E87" i="1"/>
  <c r="D87" i="1"/>
  <c r="C87" i="1"/>
  <c r="B87" i="1"/>
  <c r="A87" i="1"/>
  <c r="F86" i="1"/>
  <c r="E86" i="1"/>
  <c r="D86" i="1"/>
  <c r="C86" i="1"/>
  <c r="B86" i="1"/>
  <c r="A86" i="1"/>
  <c r="F85" i="1"/>
  <c r="D85" i="1"/>
  <c r="A85" i="1"/>
  <c r="F84" i="1"/>
  <c r="E84" i="1"/>
  <c r="D84" i="1"/>
  <c r="C84" i="1"/>
  <c r="B84" i="1"/>
  <c r="A84" i="1"/>
  <c r="F83" i="1"/>
  <c r="E83" i="1"/>
  <c r="D83" i="1"/>
  <c r="C83" i="1"/>
  <c r="B83" i="1"/>
  <c r="A83" i="1"/>
  <c r="F82" i="1"/>
  <c r="E82" i="1"/>
  <c r="D82" i="1"/>
  <c r="C82" i="1"/>
  <c r="B82" i="1"/>
  <c r="A82" i="1"/>
  <c r="F81" i="1"/>
  <c r="E81" i="1"/>
  <c r="D81" i="1"/>
  <c r="C81" i="1"/>
  <c r="B81" i="1"/>
  <c r="A81" i="1"/>
  <c r="F80" i="1"/>
  <c r="E80" i="1"/>
  <c r="D80" i="1"/>
  <c r="C80" i="1"/>
  <c r="B80" i="1"/>
  <c r="A80" i="1"/>
  <c r="F79" i="1"/>
  <c r="E79" i="1"/>
  <c r="D79" i="1"/>
  <c r="C79" i="1"/>
  <c r="B79" i="1"/>
  <c r="A79" i="1"/>
  <c r="F78" i="1"/>
  <c r="E78" i="1"/>
  <c r="D78" i="1"/>
  <c r="C78" i="1"/>
  <c r="B78" i="1"/>
  <c r="A78" i="1"/>
  <c r="F77" i="1"/>
  <c r="E77" i="1"/>
  <c r="D77" i="1"/>
  <c r="C77" i="1"/>
  <c r="B77" i="1"/>
  <c r="A77" i="1"/>
  <c r="F76" i="1"/>
  <c r="E76" i="1"/>
  <c r="D76" i="1"/>
  <c r="C76" i="1"/>
  <c r="B76" i="1"/>
  <c r="A76" i="1"/>
  <c r="F75" i="1"/>
  <c r="E75" i="1"/>
  <c r="D75" i="1"/>
  <c r="C75" i="1"/>
  <c r="B75" i="1"/>
  <c r="A75" i="1"/>
  <c r="F74" i="1"/>
  <c r="E74" i="1"/>
  <c r="D74" i="1"/>
  <c r="C74" i="1"/>
  <c r="B74" i="1"/>
  <c r="A74" i="1"/>
  <c r="F50" i="1"/>
  <c r="E50" i="1"/>
  <c r="D50" i="1"/>
  <c r="C50" i="1"/>
  <c r="B50" i="1"/>
  <c r="A50" i="1"/>
  <c r="D49" i="1"/>
  <c r="A49" i="1"/>
  <c r="D48" i="1"/>
  <c r="A48" i="1"/>
  <c r="D47" i="1"/>
  <c r="A47" i="1"/>
  <c r="D46" i="1"/>
  <c r="A46" i="1"/>
  <c r="D45" i="1"/>
  <c r="A45" i="1"/>
  <c r="B6" i="1"/>
  <c r="F5" i="1"/>
  <c r="F4" i="1"/>
  <c r="F88" i="1" l="1"/>
  <c r="I290" i="3"/>
  <c r="I293" i="3"/>
  <c r="I292" i="3"/>
  <c r="I291" i="3"/>
  <c r="I315" i="3"/>
  <c r="I314" i="3"/>
  <c r="I313" i="3"/>
  <c r="I312" i="3"/>
  <c r="I311" i="3"/>
  <c r="I310" i="3"/>
  <c r="I309" i="3"/>
  <c r="I308" i="3"/>
  <c r="I307" i="3"/>
  <c r="I164" i="3"/>
  <c r="I160" i="3"/>
  <c r="I159" i="3"/>
  <c r="I158" i="3"/>
  <c r="I188" i="3"/>
  <c r="I112" i="3"/>
  <c r="I111" i="3"/>
  <c r="I110" i="3"/>
  <c r="I109" i="3"/>
  <c r="I108" i="3"/>
  <c r="I107" i="3"/>
  <c r="I106" i="3"/>
  <c r="I105" i="3"/>
  <c r="I104" i="3"/>
  <c r="I103" i="3"/>
  <c r="I102" i="3"/>
  <c r="I137" i="3"/>
  <c r="I136" i="3"/>
  <c r="I33" i="3"/>
  <c r="I29" i="3"/>
  <c r="I12" i="3"/>
  <c r="F10" i="2" s="1"/>
  <c r="G10" i="2" s="1"/>
  <c r="I8" i="3"/>
  <c r="I6" i="3"/>
  <c r="I58" i="3"/>
  <c r="I53" i="3"/>
  <c r="I50" i="3"/>
  <c r="I250" i="3"/>
  <c r="I3" i="3"/>
  <c r="F12" i="2" s="1"/>
  <c r="F9" i="2"/>
  <c r="E85" i="1"/>
  <c r="E49" i="1"/>
  <c r="F205" i="1"/>
  <c r="G15" i="2"/>
  <c r="F45" i="1" s="1"/>
  <c r="E47" i="1"/>
  <c r="F118" i="1"/>
  <c r="F186" i="1"/>
  <c r="E48" i="1"/>
  <c r="F147" i="1"/>
  <c r="G16" i="2"/>
  <c r="F46" i="1" s="1"/>
  <c r="F51" i="1" l="1"/>
  <c r="F8" i="2"/>
  <c r="G12" i="2"/>
  <c r="G9" i="2"/>
  <c r="G8" i="2" l="1"/>
  <c r="F207" i="1" l="1"/>
  <c r="F208" i="1" s="1"/>
  <c r="F20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Лист для клиента. Здесь нет внутренних кодов товаров.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Заполняешь сюда цену закупки. Цена продажи считается автоматически.</t>
        </r>
      </text>
    </comment>
    <comment ref="H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По умолчанию берется маржа из Setari!B3, но можно менять по позиции.</t>
        </r>
      </text>
    </comment>
  </commentList>
</comments>
</file>

<file path=xl/sharedStrings.xml><?xml version="1.0" encoding="utf-8"?>
<sst xmlns="http://schemas.openxmlformats.org/spreadsheetml/2006/main" count="2102" uniqueCount="824">
  <si>
    <t>OFERTĂ COMERCIALĂ</t>
  </si>
  <si>
    <t>Sistem automat de stingere incendiu</t>
  </si>
  <si>
    <t>Client:</t>
  </si>
  <si>
    <t>________________________</t>
  </si>
  <si>
    <t>TVA:</t>
  </si>
  <si>
    <t>Obiect:</t>
  </si>
  <si>
    <t>Valută:</t>
  </si>
  <si>
    <t>Data:</t>
  </si>
  <si>
    <t>Valabilitate ofertă:</t>
  </si>
  <si>
    <t>15 zile</t>
  </si>
  <si>
    <t>1. Sistem sprinkler</t>
  </si>
  <si>
    <t>Nr</t>
  </si>
  <si>
    <t>Denumire</t>
  </si>
  <si>
    <t>U.M.</t>
  </si>
  <si>
    <t>Cantitate</t>
  </si>
  <si>
    <t>Preț unitar</t>
  </si>
  <si>
    <t>Sumă</t>
  </si>
  <si>
    <t>Subtotal 1. sistem sprinkler</t>
  </si>
  <si>
    <t>2. Nod de control și comandă</t>
  </si>
  <si>
    <t>Subtotal 2. nod de control și comandă</t>
  </si>
  <si>
    <t>3. Stație de pompare</t>
  </si>
  <si>
    <t>Subtotal 3. stație de pompare</t>
  </si>
  <si>
    <t>4. Automatizare</t>
  </si>
  <si>
    <t>Subtotal 4. automatizare</t>
  </si>
  <si>
    <t>5. Elemente de fixare</t>
  </si>
  <si>
    <t>Subtotal 5. elemente de fixare</t>
  </si>
  <si>
    <t>6. Lucrări și servicii</t>
  </si>
  <si>
    <t>Subtotal 6. lucrări și servicii</t>
  </si>
  <si>
    <t>TOTAL fără TVA</t>
  </si>
  <si>
    <t>TVA (20%)</t>
  </si>
  <si>
    <t>TOTAL FINAL</t>
  </si>
  <si>
    <t>Condiții comerciale</t>
  </si>
  <si>
    <t>Termen de livrare:</t>
  </si>
  <si>
    <t>Conform disponibilității materialelor</t>
  </si>
  <si>
    <t>Termen de execuție:</t>
  </si>
  <si>
    <t>Conform graficului agreat cu beneficiarul</t>
  </si>
  <si>
    <t>Garanție:</t>
  </si>
  <si>
    <t>Conform legislației și condițiilor contractuale</t>
  </si>
  <si>
    <t>Notă:</t>
  </si>
  <si>
    <t>Oferta este valabilă pentru cantitățile și soluțiile indicate în prezenta ofertă.</t>
  </si>
  <si>
    <t>Introducere internă – aici se completează codurile și cantitățile</t>
  </si>
  <si>
    <t>Instrucțiune:</t>
  </si>
  <si>
    <t>Completezi doar Cod produs și Cantitate. Clientul nu vede acest sheet dacă exporți KP_Client în PDF.</t>
  </si>
  <si>
    <t>Secțiune</t>
  </si>
  <si>
    <t>Cod produs</t>
  </si>
  <si>
    <t>UM</t>
  </si>
  <si>
    <t>Status</t>
  </si>
  <si>
    <t>SPR-CBSO-57</t>
  </si>
  <si>
    <t>TEV-BL-DN80</t>
  </si>
  <si>
    <t>COT-ZN-DN50</t>
  </si>
  <si>
    <t>VAN-FL-DN100</t>
  </si>
  <si>
    <t>MAN-016</t>
  </si>
  <si>
    <t>PMP-PRINC</t>
  </si>
  <si>
    <t>PMP-PILOT</t>
  </si>
  <si>
    <t>CAB-EL</t>
  </si>
  <si>
    <t>TIJA-M8</t>
  </si>
  <si>
    <t>LUCR-SPR</t>
  </si>
  <si>
    <t>Cod</t>
  </si>
  <si>
    <t>Categorie</t>
  </si>
  <si>
    <t>Denumire standard</t>
  </si>
  <si>
    <t>Material</t>
  </si>
  <si>
    <t>DN</t>
  </si>
  <si>
    <t>Preț achiziție MDL</t>
  </si>
  <si>
    <t>Marjă %</t>
  </si>
  <si>
    <t>Preț vânzare MDL</t>
  </si>
  <si>
    <t>Furnizor</t>
  </si>
  <si>
    <t>Observații</t>
  </si>
  <si>
    <t>Sistem sprinkler</t>
  </si>
  <si>
    <t>Sprinkler incendiu CBSO-PVo 0.08 R1/2 P57.B3</t>
  </si>
  <si>
    <t>—</t>
  </si>
  <si>
    <t>buc</t>
  </si>
  <si>
    <t>Fitinguri</t>
  </si>
  <si>
    <t>negru</t>
  </si>
  <si>
    <t>Țevi</t>
  </si>
  <si>
    <t>zincată</t>
  </si>
  <si>
    <t>m</t>
  </si>
  <si>
    <t>TEV-ZN-DN50</t>
  </si>
  <si>
    <t>TEV-ZN-DN80</t>
  </si>
  <si>
    <t>Țeavă zincată DN80</t>
  </si>
  <si>
    <t>Țeavă oțel negru DN80</t>
  </si>
  <si>
    <t>COT-ZN-DN15</t>
  </si>
  <si>
    <t>Cot zincat DN15</t>
  </si>
  <si>
    <t>COT-ZN-DN20</t>
  </si>
  <si>
    <t>Cot zincat DN20</t>
  </si>
  <si>
    <t>COT-ZN-DN25</t>
  </si>
  <si>
    <t>Cot zincat DN25</t>
  </si>
  <si>
    <t>COT-ZN-DN32</t>
  </si>
  <si>
    <t>Cot zincat DN32</t>
  </si>
  <si>
    <t>COT-ZN-DN40</t>
  </si>
  <si>
    <t>Cot zincat DN40</t>
  </si>
  <si>
    <t>Cot zincat DN50</t>
  </si>
  <si>
    <t>COT-BL-DN50</t>
  </si>
  <si>
    <t>TEU-ZN-DN15</t>
  </si>
  <si>
    <t>Teu zincat DN15</t>
  </si>
  <si>
    <t>TEU-ZN-DN20</t>
  </si>
  <si>
    <t>Teu zincat DN20</t>
  </si>
  <si>
    <t>TEU-ZN-DN25</t>
  </si>
  <si>
    <t>Teu zincat DN25</t>
  </si>
  <si>
    <t>TEU-ZN-DN32</t>
  </si>
  <si>
    <t>Teu zincat DN32</t>
  </si>
  <si>
    <t>TEU-ZN-DN40</t>
  </si>
  <si>
    <t>Teu zincat DN40</t>
  </si>
  <si>
    <t>TEU-ZN-DN50</t>
  </si>
  <si>
    <t>Teu zincat DN50</t>
  </si>
  <si>
    <t>TEU-ZN-DN80</t>
  </si>
  <si>
    <t>Teu zincat DN80</t>
  </si>
  <si>
    <t>DOP-ZN-DN15</t>
  </si>
  <si>
    <t>Dop zincat DN15</t>
  </si>
  <si>
    <t>DOP-ZN-DN20</t>
  </si>
  <si>
    <t>Dop zincat DN20</t>
  </si>
  <si>
    <t>DOP-ZN-DN25</t>
  </si>
  <si>
    <t>Dop zincat DN25</t>
  </si>
  <si>
    <t>DOP-ZN-DN32</t>
  </si>
  <si>
    <t>Dop zincat DN32</t>
  </si>
  <si>
    <t>DOP-ZN-DN40</t>
  </si>
  <si>
    <t>Dop zincat DN40</t>
  </si>
  <si>
    <t>DOP-ZN-DN50</t>
  </si>
  <si>
    <t>Dop zincat DN50</t>
  </si>
  <si>
    <t>DOP-BL-DN50</t>
  </si>
  <si>
    <t>RED-ZN-150x125</t>
  </si>
  <si>
    <t>150x125</t>
  </si>
  <si>
    <t>RED-ZN-150x100</t>
  </si>
  <si>
    <t>150x100</t>
  </si>
  <si>
    <t>RED-ZN-125x100</t>
  </si>
  <si>
    <t>125x100</t>
  </si>
  <si>
    <t>RED-ZN-100x80</t>
  </si>
  <si>
    <t>100x80</t>
  </si>
  <si>
    <t>RED-ZN-100x65</t>
  </si>
  <si>
    <t>100x65</t>
  </si>
  <si>
    <t>RED-ZN-80x65</t>
  </si>
  <si>
    <t>80x65</t>
  </si>
  <si>
    <t>RED-ZN-80x50</t>
  </si>
  <si>
    <t>80x50</t>
  </si>
  <si>
    <t>RED-ZN-65x50</t>
  </si>
  <si>
    <t>65x50</t>
  </si>
  <si>
    <t>RED-ZN-50x40</t>
  </si>
  <si>
    <t>Reductie zincată DN50x40</t>
  </si>
  <si>
    <t>50x40</t>
  </si>
  <si>
    <t>RED-ZN-50x32</t>
  </si>
  <si>
    <t>Reductie zincată DN50x32</t>
  </si>
  <si>
    <t>50x32</t>
  </si>
  <si>
    <t>RED-ZN-40x32</t>
  </si>
  <si>
    <t>Reductie zincată DN40x32</t>
  </si>
  <si>
    <t>40x32</t>
  </si>
  <si>
    <t>RED-ZN-40x25</t>
  </si>
  <si>
    <t>Reductie zincată DN40x25</t>
  </si>
  <si>
    <t>40x25</t>
  </si>
  <si>
    <t>RED-ZN-32x25</t>
  </si>
  <si>
    <t>Reductie zincată DN32x25</t>
  </si>
  <si>
    <t>32x25</t>
  </si>
  <si>
    <t>RED-ZN-32x20</t>
  </si>
  <si>
    <t>Reductie zincată DN32x20</t>
  </si>
  <si>
    <t>32x20</t>
  </si>
  <si>
    <t>RED-ZN-25x20</t>
  </si>
  <si>
    <t>Reductie zincată DN25x20</t>
  </si>
  <si>
    <t>25x20</t>
  </si>
  <si>
    <t>RED-BL-100x80</t>
  </si>
  <si>
    <t>Reductie oțel negru DN50x40</t>
  </si>
  <si>
    <t>Reductie oțel negru DN50x32</t>
  </si>
  <si>
    <t>Reductie oțel negru DN40x32</t>
  </si>
  <si>
    <t>Reductie oțel negru DN40x25</t>
  </si>
  <si>
    <t>Reductie oțel negru DN32x25</t>
  </si>
  <si>
    <t>Reductie oțel negru DN32x20</t>
  </si>
  <si>
    <t>Reductie oțel negru DN25x20</t>
  </si>
  <si>
    <t>FL-ZN-DN50</t>
  </si>
  <si>
    <t>Flanșă zincată DN50</t>
  </si>
  <si>
    <t>MUF-ZN-DN15</t>
  </si>
  <si>
    <t>Mufă zincată DN15</t>
  </si>
  <si>
    <t>MUF-ZN-DN20</t>
  </si>
  <si>
    <t>Mufă zincată DN20</t>
  </si>
  <si>
    <t>MUF-ZN-DN25</t>
  </si>
  <si>
    <t>Mufă zincată DN25</t>
  </si>
  <si>
    <t>MUF-ZN-DN32</t>
  </si>
  <si>
    <t>Mufă zincată DN32</t>
  </si>
  <si>
    <t>MUF-ZN-DN40</t>
  </si>
  <si>
    <t>Mufă zincată DN40</t>
  </si>
  <si>
    <t>MUF-ZN-DN50</t>
  </si>
  <si>
    <t>Mufă zincată DN50</t>
  </si>
  <si>
    <t>MUF-ZN-DN65</t>
  </si>
  <si>
    <t>Mufă zincată DN65</t>
  </si>
  <si>
    <t>MUF-ZN-DN80</t>
  </si>
  <si>
    <t>Mufă zincată DN80</t>
  </si>
  <si>
    <t>MUF-ZN-DN100</t>
  </si>
  <si>
    <t>Mufă zincată DN100</t>
  </si>
  <si>
    <t>MUF-BL-DN15</t>
  </si>
  <si>
    <t>Mufă oțel negru DN15</t>
  </si>
  <si>
    <t>MUF-BL-DN20</t>
  </si>
  <si>
    <t>Mufă oțel negru DN20</t>
  </si>
  <si>
    <t>MUF-BL-DN25</t>
  </si>
  <si>
    <t>Mufă oțel negru DN25</t>
  </si>
  <si>
    <t>MUF-BL-DN32</t>
  </si>
  <si>
    <t>Mufă oțel negru DN32</t>
  </si>
  <si>
    <t>MUF-BL-DN40</t>
  </si>
  <si>
    <t>Mufă oțel negru DN40</t>
  </si>
  <si>
    <t>MUF-BL-DN50</t>
  </si>
  <si>
    <t>Mufă oțel negru DN50</t>
  </si>
  <si>
    <t>MUF-BL-DN65</t>
  </si>
  <si>
    <t>Mufă oțel negru DN65</t>
  </si>
  <si>
    <t>MUF-BL-DN80</t>
  </si>
  <si>
    <t>Mufă oțel negru DN80</t>
  </si>
  <si>
    <t>MUF-BL-DN100</t>
  </si>
  <si>
    <t>Mufă oțel negru DN100</t>
  </si>
  <si>
    <t>VAN-FL-DN50</t>
  </si>
  <si>
    <t>Nod de control și comandă</t>
  </si>
  <si>
    <t>Vană fluture DN50 PN16</t>
  </si>
  <si>
    <t>CLAP-RET-DN50</t>
  </si>
  <si>
    <t>Clapetă de reținere DN50</t>
  </si>
  <si>
    <t>VAN-FL-DN65</t>
  </si>
  <si>
    <t>Vană fluture DN65 PN16</t>
  </si>
  <si>
    <t>CLAP-RET-DN65</t>
  </si>
  <si>
    <t>Clapetă de reținere DN65</t>
  </si>
  <si>
    <t>VAN-FL-DN80</t>
  </si>
  <si>
    <t>Vană fluture DN80 PN16</t>
  </si>
  <si>
    <t>CLAP-RET-DN80</t>
  </si>
  <si>
    <t>Clapetă de reținere DN80</t>
  </si>
  <si>
    <t>Vană fluture DN100 PN16</t>
  </si>
  <si>
    <t>CLAP-RET-DN100</t>
  </si>
  <si>
    <t>Clapetă de reținere DN100</t>
  </si>
  <si>
    <t>VAN-FL-DN125</t>
  </si>
  <si>
    <t>Vană fluture DN125 PN16</t>
  </si>
  <si>
    <t>CLAP-RET-DN125</t>
  </si>
  <si>
    <t>Clapetă de reținere DN125</t>
  </si>
  <si>
    <t>VAN-FL-DN150</t>
  </si>
  <si>
    <t>Vană fluture DN150 PN16</t>
  </si>
  <si>
    <t>CLAP-RET-DN150</t>
  </si>
  <si>
    <t>Clapetă de reținere DN150</t>
  </si>
  <si>
    <t>ROB-BILA-DN15</t>
  </si>
  <si>
    <t>Robinet bilă DN15</t>
  </si>
  <si>
    <t>ROB-BILA-DN20</t>
  </si>
  <si>
    <t>Robinet bilă DN20</t>
  </si>
  <si>
    <t>ROB-BILA-DN25</t>
  </si>
  <si>
    <t>Robinet bilă DN25</t>
  </si>
  <si>
    <t>ROB-BILA-DN32</t>
  </si>
  <si>
    <t>Robinet bilă DN32</t>
  </si>
  <si>
    <t>ROB-BILA-DN40</t>
  </si>
  <si>
    <t>Robinet bilă DN40</t>
  </si>
  <si>
    <t>ROB-BILA-DN50</t>
  </si>
  <si>
    <t>Robinet bilă DN50</t>
  </si>
  <si>
    <t>Manometru 0-16 bar</t>
  </si>
  <si>
    <t>NOD-TEST</t>
  </si>
  <si>
    <t>Nod de testare sistem sprinkler</t>
  </si>
  <si>
    <t>set</t>
  </si>
  <si>
    <t>NOD-CONTROL</t>
  </si>
  <si>
    <t>Nod de control și comandă sistem sprinkler</t>
  </si>
  <si>
    <t>Stație de pompare</t>
  </si>
  <si>
    <t>Pompă principală stație de pompare</t>
  </si>
  <si>
    <t>Pompă pilot / jockey</t>
  </si>
  <si>
    <t>REZ-APA</t>
  </si>
  <si>
    <t>Rezervor apă</t>
  </si>
  <si>
    <t>COMP-AER</t>
  </si>
  <si>
    <t>Compresor aer</t>
  </si>
  <si>
    <t>VAS-EXP</t>
  </si>
  <si>
    <t>Vas de expansiune</t>
  </si>
  <si>
    <t>SENZ-NIV</t>
  </si>
  <si>
    <t>Senzor nivel apă</t>
  </si>
  <si>
    <t>TIJA-M6</t>
  </si>
  <si>
    <t>Elemente de fixare</t>
  </si>
  <si>
    <t>Tijă filetată M6</t>
  </si>
  <si>
    <t>PIUL-M6</t>
  </si>
  <si>
    <t>Piuliță M6</t>
  </si>
  <si>
    <t>SAIBA-M6</t>
  </si>
  <si>
    <t>Șaibă M6</t>
  </si>
  <si>
    <t>ANC-M6</t>
  </si>
  <si>
    <t>Ancoră M6</t>
  </si>
  <si>
    <t>Tijă filetată M8</t>
  </si>
  <si>
    <t>PIUL-M8</t>
  </si>
  <si>
    <t>Piuliță M8</t>
  </si>
  <si>
    <t>SAIBA-M8</t>
  </si>
  <si>
    <t>Șaibă M8</t>
  </si>
  <si>
    <t>ANC-M8</t>
  </si>
  <si>
    <t>Ancoră M8</t>
  </si>
  <si>
    <t>TIJA-M10</t>
  </si>
  <si>
    <t>Tijă filetată M10</t>
  </si>
  <si>
    <t>PIUL-M10</t>
  </si>
  <si>
    <t>Piuliță M10</t>
  </si>
  <si>
    <t>SAIBA-M10</t>
  </si>
  <si>
    <t>Șaibă M10</t>
  </si>
  <si>
    <t>ANC-M10</t>
  </si>
  <si>
    <t>Ancoră M10</t>
  </si>
  <si>
    <t>TIJA-M12</t>
  </si>
  <si>
    <t>Tijă filetată M12</t>
  </si>
  <si>
    <t>PIUL-M12</t>
  </si>
  <si>
    <t>Piuliță M12</t>
  </si>
  <si>
    <t>SAIBA-M12</t>
  </si>
  <si>
    <t>Șaibă M12</t>
  </si>
  <si>
    <t>ANC-M12</t>
  </si>
  <si>
    <t>Ancoră M12</t>
  </si>
  <si>
    <t>TIJA-M16</t>
  </si>
  <si>
    <t>Tijă filetată M16</t>
  </si>
  <si>
    <t>PIUL-M16</t>
  </si>
  <si>
    <t>Piuliță M16</t>
  </si>
  <si>
    <t>SAIBA-M16</t>
  </si>
  <si>
    <t>Șaibă M16</t>
  </si>
  <si>
    <t>ANC-M16</t>
  </si>
  <si>
    <t>Ancoră M16</t>
  </si>
  <si>
    <t>SUP-DN20</t>
  </si>
  <si>
    <t>Suport / colier pentru țeavă DN20</t>
  </si>
  <si>
    <t>SUP-DN25</t>
  </si>
  <si>
    <t>Suport / colier pentru țeavă DN25</t>
  </si>
  <si>
    <t>SUP-DN32</t>
  </si>
  <si>
    <t>Suport / colier pentru țeavă DN32</t>
  </si>
  <si>
    <t>SUP-DN40</t>
  </si>
  <si>
    <t>Suport / colier pentru țeavă DN40</t>
  </si>
  <si>
    <t>SUP-DN50</t>
  </si>
  <si>
    <t>Suport / colier pentru țeavă DN50</t>
  </si>
  <si>
    <t>SUP-DN65</t>
  </si>
  <si>
    <t>Suport / colier pentru țeavă DN65</t>
  </si>
  <si>
    <t>SUP-DN80</t>
  </si>
  <si>
    <t>Suport / colier pentru țeavă DN80</t>
  </si>
  <si>
    <t>SUP-DN100</t>
  </si>
  <si>
    <t>Suport / colier pentru țeavă DN100</t>
  </si>
  <si>
    <t>SUP-DN125</t>
  </si>
  <si>
    <t>Suport / colier pentru țeavă DN125</t>
  </si>
  <si>
    <t>SUP-DN150</t>
  </si>
  <si>
    <t>Suport / colier pentru țeavă DN150</t>
  </si>
  <si>
    <t>Automatizare</t>
  </si>
  <si>
    <t>Cablu electric</t>
  </si>
  <si>
    <t>CAB-CONT</t>
  </si>
  <si>
    <t>Cablu control</t>
  </si>
  <si>
    <t>RELE-PRES</t>
  </si>
  <si>
    <t>Releu presiune</t>
  </si>
  <si>
    <t>PAN-AUT</t>
  </si>
  <si>
    <t>Panou automatizare</t>
  </si>
  <si>
    <t>Lucrări și servicii</t>
  </si>
  <si>
    <t>Lucrări montaj sistem sprinkler</t>
  </si>
  <si>
    <t>LUCR-POMP</t>
  </si>
  <si>
    <t>Lucrări montaj stație de pompare</t>
  </si>
  <si>
    <t>TRANSPORT</t>
  </si>
  <si>
    <t>Transport materiale</t>
  </si>
  <si>
    <t>DOC-EXEC</t>
  </si>
  <si>
    <t>Documentație de execuție</t>
  </si>
  <si>
    <t>Text din PDF / Specificație</t>
  </si>
  <si>
    <t>Comentariu</t>
  </si>
  <si>
    <t>Ороситель спринклерный CBSO-ПВо 0,08-R1/2/P57.B3</t>
  </si>
  <si>
    <t>RU</t>
  </si>
  <si>
    <t>Sprinkler CBSO-ПВо 0,08-R1/2/P57.B3</t>
  </si>
  <si>
    <t>RO/RU mix</t>
  </si>
  <si>
    <t>Sprinkler de incendiu CBSO</t>
  </si>
  <si>
    <t>RO scurt</t>
  </si>
  <si>
    <t>Муфта приварная G 1/2</t>
  </si>
  <si>
    <t>RO</t>
  </si>
  <si>
    <t>Труба оцинкованная DN80</t>
  </si>
  <si>
    <t>Teava zincata DN80</t>
  </si>
  <si>
    <t>fără diacritice</t>
  </si>
  <si>
    <t>Труба стальная электросварная Ø89x3.5</t>
  </si>
  <si>
    <t>Teava DU80</t>
  </si>
  <si>
    <t>Отвод DN50</t>
  </si>
  <si>
    <t>verifică materialul dacă nu este clar</t>
  </si>
  <si>
    <t>Cot negru DN50</t>
  </si>
  <si>
    <t>Тройник DN80</t>
  </si>
  <si>
    <t>Редукция 100x80</t>
  </si>
  <si>
    <t>Reductie neagra DN100x80</t>
  </si>
  <si>
    <t>Заглушка DN50</t>
  </si>
  <si>
    <t>Dop negru DN50</t>
  </si>
  <si>
    <t>Vana fluture DN100</t>
  </si>
  <si>
    <t>Затвор дисковый DN100</t>
  </si>
  <si>
    <t>Robinet bila DN20</t>
  </si>
  <si>
    <t>Кран шаровой DN20</t>
  </si>
  <si>
    <t>Манометр</t>
  </si>
  <si>
    <t>Manometru</t>
  </si>
  <si>
    <t>Nod de testare</t>
  </si>
  <si>
    <t>Узел тестирования</t>
  </si>
  <si>
    <t>Parametru</t>
  </si>
  <si>
    <t>Valoare</t>
  </si>
  <si>
    <t>TVA</t>
  </si>
  <si>
    <t>Marjă implicită</t>
  </si>
  <si>
    <t>Valută</t>
  </si>
  <si>
    <t>MDL</t>
  </si>
  <si>
    <t>Regulă principală</t>
  </si>
  <si>
    <t>1 produs unic = 1 cod intern; toate denumirile alternative merg în Sinonime</t>
  </si>
  <si>
    <t>Țeavă zincată DN15*2.2mm</t>
  </si>
  <si>
    <t>Țeavă zincată DN15*2.8mm</t>
  </si>
  <si>
    <t>TEV-ZN-DN15-2.2</t>
  </si>
  <si>
    <t>TEV-ZN-DN15-2.8</t>
  </si>
  <si>
    <t>TEV-ZN-DN20-2.2</t>
  </si>
  <si>
    <t>Țeavă zincată DN20*2.2mm</t>
  </si>
  <si>
    <t>TEV-ZN-DN20-2.8</t>
  </si>
  <si>
    <t>Țeavă zincată DN20*2.8mm</t>
  </si>
  <si>
    <t>Țeavă zincată DN25*2.5mm</t>
  </si>
  <si>
    <t>TEV-ZN-DN25-2.5</t>
  </si>
  <si>
    <t>TEV-ZN-DN25-2.8</t>
  </si>
  <si>
    <t>Țeavă zincată DN25*2.8mm</t>
  </si>
  <si>
    <t>TEV-ZN-DN25-3.2</t>
  </si>
  <si>
    <t>Țeavă zincată DN25*3.2mm</t>
  </si>
  <si>
    <t>TEV-ZN-DN32-2.8</t>
  </si>
  <si>
    <t>Țeavă zincată DN32*2.8mm</t>
  </si>
  <si>
    <t>TEV-ZN-DN32-3</t>
  </si>
  <si>
    <t>Țeavă zincată DN32*3mm</t>
  </si>
  <si>
    <t>TEV-ZN-DN32-3.2</t>
  </si>
  <si>
    <t>Țeavă zincată DN32*3.2mm</t>
  </si>
  <si>
    <t>TEV-ZN-DN40-3</t>
  </si>
  <si>
    <t>Țeavă zincată DN40*3mm</t>
  </si>
  <si>
    <t>TEV-ZN-DN40-3.2</t>
  </si>
  <si>
    <t>Țeavă zincată DN40*3.2mm</t>
  </si>
  <si>
    <t>TEV-ZN-DN40-3.5</t>
  </si>
  <si>
    <t>Țeavă zincată DN40*3.5mm</t>
  </si>
  <si>
    <t>TEV-ZN-DN40-4</t>
  </si>
  <si>
    <t>Țeavă zincată DN40*4mm</t>
  </si>
  <si>
    <t>TEV-ZN-DN20-2.5</t>
  </si>
  <si>
    <t>Țeavă zincată DN20*2.5mm</t>
  </si>
  <si>
    <t>TEV-ZN-DN25-3</t>
  </si>
  <si>
    <t>Țeavă zincată DN25*3mm</t>
  </si>
  <si>
    <t>TEV-ZN-DN50-2.2</t>
  </si>
  <si>
    <t>TEV-ZN-DN50-3</t>
  </si>
  <si>
    <t>TEV-ZN-DN50-3.2</t>
  </si>
  <si>
    <t>TEV-ZN-DN50-3.5</t>
  </si>
  <si>
    <t>TEV-ZN-DN50-4</t>
  </si>
  <si>
    <t>Țeavă zincată DN50*2.2mm</t>
  </si>
  <si>
    <t>Țeavă zincată DN50*3mm</t>
  </si>
  <si>
    <t>Țeavă zincată DN50*3.2mm</t>
  </si>
  <si>
    <t>Țeavă zincată DN50*3.5mm</t>
  </si>
  <si>
    <t>Țeavă zincată DN50*4mm</t>
  </si>
  <si>
    <t>TEV-ZN-D65-2.2</t>
  </si>
  <si>
    <t>Țeavă zincată D65*2.2mm</t>
  </si>
  <si>
    <t>Țeavă zincată D65*3mm</t>
  </si>
  <si>
    <t>Țeavă zincată D65*3.2mm</t>
  </si>
  <si>
    <t>Țeavă zincată D65*3.5mm</t>
  </si>
  <si>
    <t>Țeavă zincată D65*4mm</t>
  </si>
  <si>
    <t>Țeavă zincată D80*3mm</t>
  </si>
  <si>
    <t>Țeavă zincată D80*3.2mm</t>
  </si>
  <si>
    <t>Țeavă zincată D80*3.5mm</t>
  </si>
  <si>
    <t>Țeavă zincată D80*4mm</t>
  </si>
  <si>
    <t>TEV-ZN-D65-3</t>
  </si>
  <si>
    <t>TEV-ZN-D65-3.2</t>
  </si>
  <si>
    <t>TEV-ZN-D65-3.5</t>
  </si>
  <si>
    <t>TEV-ZN-D65-4</t>
  </si>
  <si>
    <t>TEV-ZN-D80-3</t>
  </si>
  <si>
    <t>TEV-ZN-D80-3.2</t>
  </si>
  <si>
    <t>TEV-ZN-D80-3.5</t>
  </si>
  <si>
    <t>TEV-ZN-D80-4</t>
  </si>
  <si>
    <t>TEV-ZN-D100-3</t>
  </si>
  <si>
    <t>TEV-ZN-D100-3.5</t>
  </si>
  <si>
    <t>TEV-ZN-D100-3.2</t>
  </si>
  <si>
    <t>TEV-ZN-D100-4</t>
  </si>
  <si>
    <t>Țeavă zincată D100*4mm</t>
  </si>
  <si>
    <t>Țeavă zincată D100*3.5mm</t>
  </si>
  <si>
    <t>Țeavă zincată D100*3.2mm</t>
  </si>
  <si>
    <t>Țeavă zincată D100*3mm</t>
  </si>
  <si>
    <t>TEV-ZN-D100-5</t>
  </si>
  <si>
    <t>Țeavă zincată D100*5mm</t>
  </si>
  <si>
    <t>TEV-ZN-D125-3.2</t>
  </si>
  <si>
    <t>TEV-ZN-D150-4</t>
  </si>
  <si>
    <t>TEV-ZN-D125-4</t>
  </si>
  <si>
    <t>TEV-ZN-D150-3.5</t>
  </si>
  <si>
    <t>TEV-ZN-D200-4</t>
  </si>
  <si>
    <t>TEV-ZN-D200-4.5</t>
  </si>
  <si>
    <t>TEV-ZN-D200-5</t>
  </si>
  <si>
    <t>TEV-ZN-D250-5</t>
  </si>
  <si>
    <t>TEV-ZN-D250-6</t>
  </si>
  <si>
    <t>Țeavă zincată D125*3.2mm</t>
  </si>
  <si>
    <t>Țeavă zincată D125*4mm</t>
  </si>
  <si>
    <t>Țeavă zincată D150*3.5mm</t>
  </si>
  <si>
    <t>Țeavă zincată D150*4mm</t>
  </si>
  <si>
    <t>Țeavă zincată D200*4mm</t>
  </si>
  <si>
    <t>Țeavă zincată D200*4.5mm</t>
  </si>
  <si>
    <t>Țeavă zincată D200*5mm</t>
  </si>
  <si>
    <t>Țeavă zincată D250*5mm</t>
  </si>
  <si>
    <t>Țeavă zincată D250*6mm</t>
  </si>
  <si>
    <t>Țeavă oțel DN15*2.2mm</t>
  </si>
  <si>
    <t>TEV-NG-DN15-2.2</t>
  </si>
  <si>
    <t>TEV-NG-DN15-2.8</t>
  </si>
  <si>
    <t>Țeavă oțel DN15*2.8mm</t>
  </si>
  <si>
    <t>TEV-NG-DN20-2.2</t>
  </si>
  <si>
    <t>Țeavă oțel DN20*2.2mm</t>
  </si>
  <si>
    <t>Țeavă oțel DN20*2.8mm</t>
  </si>
  <si>
    <t>TEV-NG-DN20-2.8</t>
  </si>
  <si>
    <t>TEV-NG-DN20-2.5</t>
  </si>
  <si>
    <t>Țeavă oțel DN20*2.5mm</t>
  </si>
  <si>
    <t>TEV-NG-DN25-2.2</t>
  </si>
  <si>
    <t>TEV-NG-DN25-2.5</t>
  </si>
  <si>
    <t>TEV-NG-DN25-2.8</t>
  </si>
  <si>
    <t>Țeavă oțel DN25*2.2mm</t>
  </si>
  <si>
    <t>Țeavă oțel DN25*2.5mm</t>
  </si>
  <si>
    <t>Țeavă oțel DN25*2.8mm</t>
  </si>
  <si>
    <t>TEV-NG-DN25-3</t>
  </si>
  <si>
    <t>Țeavă oțel DN25*3mm</t>
  </si>
  <si>
    <t>TEV-NG-DN32-2</t>
  </si>
  <si>
    <t>Țeavă oțel DN32*2mm</t>
  </si>
  <si>
    <t>TEV-NG-DN32-2.5</t>
  </si>
  <si>
    <t>Țeavă oțel DN32*2.5mm</t>
  </si>
  <si>
    <t>TEV-NG-DN32-2.8</t>
  </si>
  <si>
    <t>Țeavă oțel DN32*2.8mm</t>
  </si>
  <si>
    <t>TEV-NG-DN32-3</t>
  </si>
  <si>
    <t>Țeavă oțel DN32*3mm</t>
  </si>
  <si>
    <t>TEV-NG-DN32-3.2</t>
  </si>
  <si>
    <t>Țeavă oțel DN32*3.2mm</t>
  </si>
  <si>
    <t>TEV-NG-DN40-2</t>
  </si>
  <si>
    <t>Țeavă oțel DN40*2mm</t>
  </si>
  <si>
    <t>TEV-NG-DN40-2.5</t>
  </si>
  <si>
    <t>Țeavă oțel DN40*2.5mm</t>
  </si>
  <si>
    <t>TEV-NG-DN40-2.8</t>
  </si>
  <si>
    <t>Țeavă oțel DN40*2.8mm</t>
  </si>
  <si>
    <t>TEV-NG-DN40-3</t>
  </si>
  <si>
    <t>Țeavă oțel DN40*3mm</t>
  </si>
  <si>
    <t>TEV-NG-DN40-3.2</t>
  </si>
  <si>
    <t>Țeavă oțel DN40*3.2mm</t>
  </si>
  <si>
    <t>TEV-NG-DN40-3.5</t>
  </si>
  <si>
    <t>Țeavă oțel DN40*3.5mm</t>
  </si>
  <si>
    <t>TEV-NG-DN40-4</t>
  </si>
  <si>
    <t>Țeavă oțel DN40*4mm</t>
  </si>
  <si>
    <t>TEV-NG-DN50-3</t>
  </si>
  <si>
    <t>Țeavă oțel DN50*3mm</t>
  </si>
  <si>
    <t>TEV-NG-DN50-2.8</t>
  </si>
  <si>
    <t>Țeavă oțel DN50*2.8mm</t>
  </si>
  <si>
    <t>TEV-NG-DN50-3.2</t>
  </si>
  <si>
    <t>Țeavă oțel DN50*3.2mm</t>
  </si>
  <si>
    <t>TEV-NG-DN50-3.5</t>
  </si>
  <si>
    <t>Țeavă oțel DN50*3.5mm</t>
  </si>
  <si>
    <t>TEV-NG-DN50-4</t>
  </si>
  <si>
    <t>Țeavă oțel DN50*4mm</t>
  </si>
  <si>
    <t>TEV-NG-DN50-2</t>
  </si>
  <si>
    <t>Țeavă oțel DN50*2mm</t>
  </si>
  <si>
    <t>TEV-NG-DN50-2.2</t>
  </si>
  <si>
    <t>Țeavă oțel DN50*2.2mm</t>
  </si>
  <si>
    <t>TEV-NG-DN50-2.5</t>
  </si>
  <si>
    <t>Țeavă oțel DN50*2.5mm</t>
  </si>
  <si>
    <t>TEV-NG-D65-2</t>
  </si>
  <si>
    <t>Țeavă oțel D65*2mm</t>
  </si>
  <si>
    <t>TEV-NG-D65-3</t>
  </si>
  <si>
    <t>Țeavă oțel D65*3mm</t>
  </si>
  <si>
    <t>TEV-NG-D65-3.2</t>
  </si>
  <si>
    <t>Țeavă oțel D65*3.2mm</t>
  </si>
  <si>
    <t>TEV-NG-D65-3.5</t>
  </si>
  <si>
    <t>Țeavă oțel D65*3.5mm</t>
  </si>
  <si>
    <t>TEV-NG-D65-4</t>
  </si>
  <si>
    <t>Țeavă oțel D65*4mm</t>
  </si>
  <si>
    <t>TEV-NG-D80-2</t>
  </si>
  <si>
    <t>Țeavă oțel D80*2mm</t>
  </si>
  <si>
    <t>TEV-NG-D80-2.8</t>
  </si>
  <si>
    <t>Țeavă oțel D80*2.8mm</t>
  </si>
  <si>
    <t>TEV-NG-D80-3</t>
  </si>
  <si>
    <t>Țeavă oțel D80*3mm</t>
  </si>
  <si>
    <t>TEV-NG-D80-3.2</t>
  </si>
  <si>
    <t>Țeavă oțel D80*3.2mm</t>
  </si>
  <si>
    <t>TEV-NG-D80-3.5</t>
  </si>
  <si>
    <t>Țeavă oțel D80*3.5mm</t>
  </si>
  <si>
    <t>TEV-NG-D80-4</t>
  </si>
  <si>
    <t>Țeavă oțel D80*4mm</t>
  </si>
  <si>
    <t>TEV-NG-D100-2.2</t>
  </si>
  <si>
    <t>Țeavă oțel D100*2.2mm</t>
  </si>
  <si>
    <t>TEV-NG-D100-3</t>
  </si>
  <si>
    <t>Țeavă oțel D100*3mm</t>
  </si>
  <si>
    <t>TEV-NG-D100-3.2</t>
  </si>
  <si>
    <t>Țeavă oțel D100*3.2mm</t>
  </si>
  <si>
    <t>TEV-NG-D100-4</t>
  </si>
  <si>
    <t>Țeavă oțel D100*4mm</t>
  </si>
  <si>
    <t/>
  </si>
  <si>
    <t>TEV-NG-D125-3</t>
  </si>
  <si>
    <t>Țeavă oțel D125*3mm</t>
  </si>
  <si>
    <t>TEV-NG-D125-4</t>
  </si>
  <si>
    <t>Țeavă oțel D125*4mm</t>
  </si>
  <si>
    <t>TEV-NG-D125-3.2</t>
  </si>
  <si>
    <t>Țeavă oțel D125*3.2mm</t>
  </si>
  <si>
    <t>TEV-NG-D150-4</t>
  </si>
  <si>
    <t>Țeavă oțel D150*4mm</t>
  </si>
  <si>
    <t>TEV-NG-D150-3.5</t>
  </si>
  <si>
    <t>Țeavă oțel D150*3.5mm</t>
  </si>
  <si>
    <t>TEV-NG-D200-4</t>
  </si>
  <si>
    <t>Țeavă oțel D200*4mm</t>
  </si>
  <si>
    <t>TEV-NG-D200-5</t>
  </si>
  <si>
    <t>Țeavă oțel D200*5mm</t>
  </si>
  <si>
    <t>TEV-NG-D250-6</t>
  </si>
  <si>
    <t>Țeavă oțel D250*6mm</t>
  </si>
  <si>
    <t>TEV-NG-D250-5</t>
  </si>
  <si>
    <t>Țeavă oțel D250*5mm</t>
  </si>
  <si>
    <t>TEV-NG-D300-5</t>
  </si>
  <si>
    <t>Țeavă oțel D300*5mm</t>
  </si>
  <si>
    <t>Cot oțel DN15</t>
  </si>
  <si>
    <t>Cot oțel DN20</t>
  </si>
  <si>
    <t>Cot oțel DN25</t>
  </si>
  <si>
    <t>Cot oțel DN32</t>
  </si>
  <si>
    <t>Cot oțel DN40</t>
  </si>
  <si>
    <t>Cot oțel DN50</t>
  </si>
  <si>
    <t>COT-NG-DN15</t>
  </si>
  <si>
    <t>COT-NG-DN20</t>
  </si>
  <si>
    <t>COT-NG-DN25</t>
  </si>
  <si>
    <t>COT-NG-DN32</t>
  </si>
  <si>
    <t>COT-NG-DN40</t>
  </si>
  <si>
    <t>COT-NG-DN50</t>
  </si>
  <si>
    <t>Cot oțel D65</t>
  </si>
  <si>
    <t>Cot oțel D80</t>
  </si>
  <si>
    <t>Cot oțel D100</t>
  </si>
  <si>
    <t>Cot oțel D125</t>
  </si>
  <si>
    <t>Cot oțel D150</t>
  </si>
  <si>
    <t>COT-ZN-D65</t>
  </si>
  <si>
    <t>COT-ZN-D80</t>
  </si>
  <si>
    <t>COT-ZN-D100</t>
  </si>
  <si>
    <t>COT-ZN-D125</t>
  </si>
  <si>
    <t>COT-ZN-D150</t>
  </si>
  <si>
    <t>COT-ZN-D200</t>
  </si>
  <si>
    <t>Cot zincat D65</t>
  </si>
  <si>
    <t>Cot zincat D80</t>
  </si>
  <si>
    <t>Cot zincat D100</t>
  </si>
  <si>
    <t>Cot zincat D125</t>
  </si>
  <si>
    <t>Cot zincat D150</t>
  </si>
  <si>
    <t>Cot zincat D200</t>
  </si>
  <si>
    <t>COT-ZN-D250</t>
  </si>
  <si>
    <t>Cot zincat D250</t>
  </si>
  <si>
    <t>COT-ZN-D300</t>
  </si>
  <si>
    <t>Cot zincat D300</t>
  </si>
  <si>
    <t>COT-NG-D65</t>
  </si>
  <si>
    <t>COT-NG-D80</t>
  </si>
  <si>
    <t>COT-NG-D100</t>
  </si>
  <si>
    <t>COT-NG-D125</t>
  </si>
  <si>
    <t>COT-NG-D150</t>
  </si>
  <si>
    <t>COT-NG-D200</t>
  </si>
  <si>
    <t>Cot oțel D200</t>
  </si>
  <si>
    <t>COT-NG-D250</t>
  </si>
  <si>
    <t>Cot oțel D250</t>
  </si>
  <si>
    <t>COT-NG-D300</t>
  </si>
  <si>
    <t>Cot oțel D300</t>
  </si>
  <si>
    <t>TEU-ZN-D65</t>
  </si>
  <si>
    <t>TEU-ZN-D80</t>
  </si>
  <si>
    <t>TEU-ZN-D100</t>
  </si>
  <si>
    <t>TEU-ZN-D125</t>
  </si>
  <si>
    <t>TEU-ZN-D150</t>
  </si>
  <si>
    <t>Teu zincat D65</t>
  </si>
  <si>
    <t>Teu zincat D80</t>
  </si>
  <si>
    <t>Teu zincat D100</t>
  </si>
  <si>
    <t>Teu zincat D125</t>
  </si>
  <si>
    <t>Teu zincat D150</t>
  </si>
  <si>
    <t>TEU-ZN-D200</t>
  </si>
  <si>
    <t>Teu zincat D200</t>
  </si>
  <si>
    <t>TEU-ZN-D250</t>
  </si>
  <si>
    <t>Teu zincat D250</t>
  </si>
  <si>
    <t>TEU-ZN-D300</t>
  </si>
  <si>
    <t>Teu zincat D300</t>
  </si>
  <si>
    <t>TEU-NG-DN15</t>
  </si>
  <si>
    <t>TEU-NG-DN20</t>
  </si>
  <si>
    <t>TEU-NG-DN25</t>
  </si>
  <si>
    <t>TEU-NG-DN32</t>
  </si>
  <si>
    <t>TEU-NG-DN40</t>
  </si>
  <si>
    <t>TEU-NG-DN50</t>
  </si>
  <si>
    <t>TEU-NG-D65</t>
  </si>
  <si>
    <t>TEU-NG-D80</t>
  </si>
  <si>
    <t>TEU-NG-D100</t>
  </si>
  <si>
    <t>TEU-NG-D125</t>
  </si>
  <si>
    <t>TEU-NG-D150</t>
  </si>
  <si>
    <t>TEU-NG-D200</t>
  </si>
  <si>
    <t>TEU-NG-D250</t>
  </si>
  <si>
    <t>TEU-NG-D300</t>
  </si>
  <si>
    <t>DOP-ZN-D65</t>
  </si>
  <si>
    <t>Dop zincat D65</t>
  </si>
  <si>
    <t>DOP-ZN-D80</t>
  </si>
  <si>
    <t>Dop zincat D80</t>
  </si>
  <si>
    <t>Dop zincat D100</t>
  </si>
  <si>
    <t>Dop zincat D125</t>
  </si>
  <si>
    <t>Dop zincat D150</t>
  </si>
  <si>
    <t>DOP-ZN-D150</t>
  </si>
  <si>
    <t>DOP-ZN-D125</t>
  </si>
  <si>
    <t>DOP-ZN-D100</t>
  </si>
  <si>
    <t>DOP-ZN-D200</t>
  </si>
  <si>
    <t>Dop zincat D200</t>
  </si>
  <si>
    <t>DOP-ZN-D250</t>
  </si>
  <si>
    <t>Dop zincat D250</t>
  </si>
  <si>
    <t>DOP-ZN-D300</t>
  </si>
  <si>
    <t>Dop zincat D300</t>
  </si>
  <si>
    <t>DOP-NG-DN15</t>
  </si>
  <si>
    <t>DOP-NG-DN20</t>
  </si>
  <si>
    <t>DOP-NG-DN25</t>
  </si>
  <si>
    <t>DOP-NG-DN32</t>
  </si>
  <si>
    <t>DOP-NG-DN40</t>
  </si>
  <si>
    <t>DOP-NG-DN50</t>
  </si>
  <si>
    <t>DOP-NG-D65</t>
  </si>
  <si>
    <t>DOP-NG-D80</t>
  </si>
  <si>
    <t>DOP-NG-D100</t>
  </si>
  <si>
    <t>DOP-NG-D125</t>
  </si>
  <si>
    <t>DOP-NG-D150</t>
  </si>
  <si>
    <t>Teu oțel DN15</t>
  </si>
  <si>
    <t>Teu oțel DN20</t>
  </si>
  <si>
    <t>Teu oțel DN25</t>
  </si>
  <si>
    <t>Teu oțel DN32</t>
  </si>
  <si>
    <t>Teu oțel DN40</t>
  </si>
  <si>
    <t>Teu oțel DN50</t>
  </si>
  <si>
    <t>Teu oțel D65</t>
  </si>
  <si>
    <t>Teu oțel D80</t>
  </si>
  <si>
    <t>Teu oțel D100</t>
  </si>
  <si>
    <t>Teu oțel D125</t>
  </si>
  <si>
    <t>Teu oțel D150</t>
  </si>
  <si>
    <t>Teu oțel  D200</t>
  </si>
  <si>
    <t>Teu oțel D250</t>
  </si>
  <si>
    <t>Teu oțel D300</t>
  </si>
  <si>
    <t>Dop oțel DN15</t>
  </si>
  <si>
    <t>Dop oțel DN20</t>
  </si>
  <si>
    <t>Dop oțel DN25</t>
  </si>
  <si>
    <t>Dop oțel DN32</t>
  </si>
  <si>
    <t>Dop oțel DN40</t>
  </si>
  <si>
    <t>Dop oțel DN50</t>
  </si>
  <si>
    <t>Dop oțel D65</t>
  </si>
  <si>
    <t>Dop oțel D80</t>
  </si>
  <si>
    <t>Dop oțel D100</t>
  </si>
  <si>
    <t>Dop oțel D125</t>
  </si>
  <si>
    <t>Dop oțel D150</t>
  </si>
  <si>
    <t>DOP-NG-D200</t>
  </si>
  <si>
    <t>Dop oțel D200</t>
  </si>
  <si>
    <t>DOP-NG-D250</t>
  </si>
  <si>
    <t>Dop oțel D250</t>
  </si>
  <si>
    <t>DOP-NG-D300</t>
  </si>
  <si>
    <t>Dop oțel D300</t>
  </si>
  <si>
    <t>Reductie zincată D150x125</t>
  </si>
  <si>
    <t>Reductie zincată D150x100</t>
  </si>
  <si>
    <t>Reductie zincată D125x100</t>
  </si>
  <si>
    <t>Reductie zincată D100x80</t>
  </si>
  <si>
    <t>Reductie zincată D100x65</t>
  </si>
  <si>
    <t>Reductie zincată D80x65</t>
  </si>
  <si>
    <t>Reductie zincată D80x50</t>
  </si>
  <si>
    <t>Reductie zincată D65x50</t>
  </si>
  <si>
    <t>Reductie oțel D150x125</t>
  </si>
  <si>
    <t>RED-NG-150x125</t>
  </si>
  <si>
    <t>RED-NG-150x100</t>
  </si>
  <si>
    <t>RED-NG-125x100</t>
  </si>
  <si>
    <t>RED-NG-100x80</t>
  </si>
  <si>
    <t>RED-NG-100x65</t>
  </si>
  <si>
    <t>RED-NG-80x65</t>
  </si>
  <si>
    <t>RED-NG-80x50</t>
  </si>
  <si>
    <t>RED-NG-65x50</t>
  </si>
  <si>
    <t>RED-NG-50x40</t>
  </si>
  <si>
    <t>RED-NG-50x32</t>
  </si>
  <si>
    <t>RED-NG-40x32</t>
  </si>
  <si>
    <t>RED-NG-40x25</t>
  </si>
  <si>
    <t>RED-NG-32x25</t>
  </si>
  <si>
    <t>RED-NG-32x20</t>
  </si>
  <si>
    <t>RED-NG-25x20</t>
  </si>
  <si>
    <t>Reductie oțel negru D65x50</t>
  </si>
  <si>
    <t>Reductie oțel negru D80x50</t>
  </si>
  <si>
    <t>Reductie oțel negru D80x65</t>
  </si>
  <si>
    <t>Reductie oțel negru D100x65</t>
  </si>
  <si>
    <t>Reductie oțel negru D100x80</t>
  </si>
  <si>
    <t>Reductie oțel negru D125x100</t>
  </si>
  <si>
    <t>Reductie oțel negru D150x100</t>
  </si>
  <si>
    <t>Flanșă zincată D65</t>
  </si>
  <si>
    <t>Flanșă zincată D80</t>
  </si>
  <si>
    <t>Flanșă zincată D100</t>
  </si>
  <si>
    <t>Flanșă zincată D125</t>
  </si>
  <si>
    <t>Flanșă zincată D150</t>
  </si>
  <si>
    <t>FL-ZN-D150</t>
  </si>
  <si>
    <t>FL-ZN-D125</t>
  </si>
  <si>
    <t>FL-ZN-D100</t>
  </si>
  <si>
    <t>FL-ZN-D80</t>
  </si>
  <si>
    <t>FL-ZN-D65</t>
  </si>
  <si>
    <t>FL-ZN-DN15</t>
  </si>
  <si>
    <t>Flanșă zincată DN15</t>
  </si>
  <si>
    <t>FL-ZN-DN20</t>
  </si>
  <si>
    <t>Flanșă zincată DN20</t>
  </si>
  <si>
    <t>FL-ZN-DN25</t>
  </si>
  <si>
    <t>Flanșă zincată DN25</t>
  </si>
  <si>
    <t>FL-ZN-DN32</t>
  </si>
  <si>
    <t>Flanșă zincată DN32</t>
  </si>
  <si>
    <t>FL-ZN-DN40</t>
  </si>
  <si>
    <t>Flanșă zincată DN40</t>
  </si>
  <si>
    <t>FL-ZN-D200</t>
  </si>
  <si>
    <t>Flanșă zincată D200</t>
  </si>
  <si>
    <t>FL-ZN-D250</t>
  </si>
  <si>
    <t>Flanșă zincată D250</t>
  </si>
  <si>
    <t>FL-NG-DN50</t>
  </si>
  <si>
    <t>FL-NG-D65</t>
  </si>
  <si>
    <t>FL-NG-D80</t>
  </si>
  <si>
    <t>FL-NG-D100</t>
  </si>
  <si>
    <t>FL-NG-D125</t>
  </si>
  <si>
    <t>FL-NG-D150</t>
  </si>
  <si>
    <t>Flanșă oțel DN50</t>
  </si>
  <si>
    <t>Flanșă oțel D65</t>
  </si>
  <si>
    <t>Flanșă oțel D80</t>
  </si>
  <si>
    <t>Flanșă oțel D100</t>
  </si>
  <si>
    <t>Flanșă oțel D125</t>
  </si>
  <si>
    <t>Flanșă oțel D150</t>
  </si>
  <si>
    <t>FL-NG-DN15</t>
  </si>
  <si>
    <t>Flanșă oțel DN15</t>
  </si>
  <si>
    <t>FL-NG-DN20</t>
  </si>
  <si>
    <t>Flanșă oțel DN20</t>
  </si>
  <si>
    <t>FL-NG-DN25</t>
  </si>
  <si>
    <t>Flanșă oțel DN25</t>
  </si>
  <si>
    <t>FL-NG-DN32</t>
  </si>
  <si>
    <t>Flanșă oțel DN32</t>
  </si>
  <si>
    <t>FL-NG-DN40</t>
  </si>
  <si>
    <t>Flanșă oțel DN40</t>
  </si>
  <si>
    <t>FL-NG-D200</t>
  </si>
  <si>
    <t>Flanșă oțel D200</t>
  </si>
  <si>
    <t>FL-NG-D250</t>
  </si>
  <si>
    <t>Flanșă oțel D250</t>
  </si>
  <si>
    <t>Țeavă din oțel zincat Ø26,9* 2.6 mm (DN 20)</t>
  </si>
  <si>
    <t>Teava zincata DN20*2.5mm</t>
  </si>
  <si>
    <t>Țeavă din oțel zincat Ø32 Х 2.2 mm (DN 25)</t>
  </si>
  <si>
    <t>TEV-ZN-DN25-2.6</t>
  </si>
  <si>
    <t>Țeavă din oțel zincat Ø40 Х 2.2 mm (DN 32)</t>
  </si>
  <si>
    <t>Труба стальная электросварная прямошовная DN32 по ГОСТ 10704</t>
  </si>
  <si>
    <t>Țeavă din oțel zincat Ø89x2.8 mm (DN 80)</t>
  </si>
  <si>
    <t>Țeavă din oțel zincat Ø108x2.8 mm (DN 100)</t>
  </si>
  <si>
    <t>Teu din oțel zincat DN 80</t>
  </si>
  <si>
    <t>Teu din oțel zincat DN 100</t>
  </si>
  <si>
    <t>Cot din oțel zincat DN 20</t>
  </si>
  <si>
    <t>Cot din oțel zincat DN 25</t>
  </si>
  <si>
    <t>Cot din oțel zincat DN 32</t>
  </si>
  <si>
    <t>Cot din oțel zincat DN 80</t>
  </si>
  <si>
    <t>Cot din oțel zincat DN 100</t>
  </si>
  <si>
    <t>Reducție din oțel zincat DN 100х80 mm</t>
  </si>
  <si>
    <t>Dop din oțel zincat DN 20 mm</t>
  </si>
  <si>
    <t>Dop din oțel zincat DN 25 mm</t>
  </si>
  <si>
    <t>Dop din oțel zincat DN 32 mm</t>
  </si>
  <si>
    <t>Dop din oțel zincat DN 80 mm</t>
  </si>
  <si>
    <t>Brățară p/u fixare D 20</t>
  </si>
  <si>
    <t>Brățară p/u fixare D 25</t>
  </si>
  <si>
    <t>Brățară p/u fixare D 32</t>
  </si>
  <si>
    <t>Brățară p/u fixare D 80</t>
  </si>
  <si>
    <t>Brățară p/u fixare D 100</t>
  </si>
  <si>
    <t>Consolă de sprjin Stex 35/35 L= 150 mm Plate vertical galv.</t>
  </si>
  <si>
    <t>Consolă de sprjin Stex 35/35 L= 150 mm</t>
  </si>
  <si>
    <t>SUP-CONS-L150</t>
  </si>
  <si>
    <t>Piuliță hexagonală M8</t>
  </si>
  <si>
    <t>Ancoră de bătut M8</t>
  </si>
  <si>
    <t>SUP-DN200</t>
  </si>
  <si>
    <t>Suport / colier pentru țeavă DN200</t>
  </si>
  <si>
    <t>Sprinkler cu temp. de acționare 57°C, apă</t>
  </si>
  <si>
    <t>02 МП G1/2, l=50 mm Mufă sudată pentru</t>
  </si>
  <si>
    <t>RO/PDF line</t>
  </si>
  <si>
    <t>Rețeaua de sprinklere</t>
  </si>
  <si>
    <t>titlu / ignoră</t>
  </si>
  <si>
    <t>Mufă sudată pentru pulverizatoare cu apă fină</t>
  </si>
  <si>
    <t>Mufă sudată pentru pulverizatoare</t>
  </si>
  <si>
    <t>МП G1/2 l=50 mm</t>
  </si>
  <si>
    <t>МП G1/2</t>
  </si>
  <si>
    <t>МП G1/2, l=50 mm Mufă sudată pentru pulverizatoare cu apă fină</t>
  </si>
  <si>
    <t>25 Consolă de sprjin Stex 35/35</t>
  </si>
  <si>
    <t>Consolă de sprijin Stex 35/35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</si>
</sst>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rgb="FF0000FF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8000"/>
      <name val="Calibri"/>
      <family val="2"/>
      <charset val="204"/>
    </font>
    <font>
      <b/>
      <sz val="16"/>
      <color rgb="FFFFFFFF"/>
      <name val="Arial"/>
      <family val="2"/>
      <charset val="204"/>
    </font>
    <font>
      <b/>
      <sz val="10"/>
      <color rgb="FF1F2937"/>
      <name val="Arial"/>
      <family val="2"/>
      <charset val="204"/>
    </font>
    <font>
      <i/>
      <sz val="9"/>
      <color rgb="FF666666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1F4E78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1"/>
      <name val="Arial"/>
      <family val="2"/>
      <charset val="204"/>
    </font>
    <font>
      <b/>
      <sz val="14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name val="Carlito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4F9FC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1F4E78"/>
      </top>
      <bottom/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2">
    <xf numFmtId="0" fontId="0" fillId="0" borderId="0"/>
    <xf numFmtId="0" fontId="15" fillId="0" borderId="0"/>
  </cellStyleXfs>
  <cellXfs count="42">
    <xf numFmtId="0" fontId="0" fillId="0" borderId="0" xfId="0"/>
    <xf numFmtId="0" fontId="14" fillId="0" borderId="0" xfId="0" applyFont="1"/>
    <xf numFmtId="0" fontId="6" fillId="4" borderId="0" xfId="0" applyFont="1" applyFill="1"/>
    <xf numFmtId="0" fontId="8" fillId="0" borderId="0" xfId="0" applyFont="1" applyAlignment="1">
      <alignment horizontal="left" vertical="center"/>
    </xf>
    <xf numFmtId="9" fontId="9" fillId="0" borderId="0" xfId="0" applyNumberFormat="1" applyFont="1"/>
    <xf numFmtId="0" fontId="9" fillId="0" borderId="0" xfId="0" applyFont="1"/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" fontId="9" fillId="0" borderId="1" xfId="0" applyNumberFormat="1" applyFont="1" applyBorder="1" applyAlignment="1">
      <alignment horizontal="center" vertical="center"/>
    </xf>
    <xf numFmtId="4" fontId="6" fillId="5" borderId="2" xfId="0" applyNumberFormat="1" applyFont="1" applyFill="1" applyBorder="1"/>
    <xf numFmtId="4" fontId="12" fillId="0" borderId="0" xfId="0" applyNumberFormat="1" applyFont="1"/>
    <xf numFmtId="4" fontId="13" fillId="6" borderId="3" xfId="0" applyNumberFormat="1" applyFont="1" applyFill="1" applyBorder="1"/>
    <xf numFmtId="0" fontId="6" fillId="0" borderId="0" xfId="0" applyFont="1"/>
    <xf numFmtId="0" fontId="7" fillId="0" borderId="0" xfId="0" applyFont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4" fontId="9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4" fontId="2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 wrapText="1"/>
    </xf>
    <xf numFmtId="0" fontId="1" fillId="2" borderId="0" xfId="0" applyFont="1" applyFill="1"/>
    <xf numFmtId="9" fontId="0" fillId="0" borderId="0" xfId="0" applyNumberFormat="1"/>
    <xf numFmtId="0" fontId="9" fillId="0" borderId="0" xfId="0" applyFont="1" applyAlignment="1">
      <alignment vertical="top" wrapText="1"/>
    </xf>
    <xf numFmtId="0" fontId="14" fillId="0" borderId="0" xfId="0" applyFont="1"/>
    <xf numFmtId="0" fontId="11" fillId="3" borderId="0" xfId="0" applyFont="1" applyFill="1" applyAlignment="1">
      <alignment horizontal="left" vertical="center"/>
    </xf>
    <xf numFmtId="0" fontId="6" fillId="5" borderId="2" xfId="0" applyFont="1" applyFill="1" applyBorder="1" applyAlignment="1">
      <alignment horizontal="right" vertical="center"/>
    </xf>
    <xf numFmtId="0" fontId="14" fillId="5" borderId="2" xfId="0" applyFont="1" applyFill="1" applyBorder="1"/>
    <xf numFmtId="0" fontId="13" fillId="6" borderId="3" xfId="0" applyFont="1" applyFill="1" applyBorder="1" applyAlignment="1">
      <alignment horizontal="right" vertical="center"/>
    </xf>
    <xf numFmtId="0" fontId="14" fillId="6" borderId="3" xfId="0" applyFont="1" applyFill="1" applyBorder="1"/>
    <xf numFmtId="0" fontId="12" fillId="0" borderId="0" xfId="0" applyFont="1" applyAlignment="1">
      <alignment horizontal="right" vertical="center"/>
    </xf>
    <xf numFmtId="0" fontId="11" fillId="3" borderId="0" xfId="0" applyFont="1" applyFill="1"/>
    <xf numFmtId="0" fontId="5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</cellXfs>
  <cellStyles count="2">
    <cellStyle name="Normal" xfId="1" xr:uid="{56FA3C90-1836-417A-9B3F-BB76DBFA183E}"/>
    <cellStyle name="Обычный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7"/>
  <sheetViews>
    <sheetView showGridLines="0" workbookViewId="0">
      <pane ySplit="9" topLeftCell="A204" activePane="bottomLeft" state="frozen"/>
      <selection pane="bottomLeft" activeCell="B194" sqref="B194"/>
    </sheetView>
  </sheetViews>
  <sheetFormatPr defaultRowHeight="15"/>
  <cols>
    <col min="1" max="1" width="6" customWidth="1"/>
    <col min="2" max="2" width="58" customWidth="1"/>
    <col min="3" max="3" width="9" customWidth="1"/>
    <col min="4" max="4" width="13" customWidth="1"/>
    <col min="5" max="6" width="17" customWidth="1"/>
  </cols>
  <sheetData>
    <row r="1" spans="1:6" ht="20.100000000000001" customHeight="1">
      <c r="A1" s="39" t="s">
        <v>0</v>
      </c>
      <c r="B1" s="31"/>
      <c r="C1" s="31"/>
      <c r="D1" s="31"/>
      <c r="E1" s="31"/>
      <c r="F1" s="31"/>
    </row>
    <row r="2" spans="1:6" ht="20.100000000000001" customHeight="1">
      <c r="A2" s="40" t="s">
        <v>1</v>
      </c>
      <c r="B2" s="31"/>
      <c r="C2" s="31"/>
      <c r="D2" s="31"/>
      <c r="E2" s="31"/>
      <c r="F2" s="31"/>
    </row>
    <row r="3" spans="1:6" ht="20.100000000000001" customHeight="1">
      <c r="A3" s="1"/>
      <c r="B3" s="1"/>
      <c r="C3" s="1"/>
      <c r="D3" s="1"/>
      <c r="E3" s="1"/>
      <c r="F3" s="1"/>
    </row>
    <row r="4" spans="1:6" ht="20.100000000000001" customHeight="1">
      <c r="A4" s="2" t="s">
        <v>2</v>
      </c>
      <c r="B4" s="3" t="s">
        <v>3</v>
      </c>
      <c r="C4" s="1"/>
      <c r="D4" s="1"/>
      <c r="E4" s="2" t="s">
        <v>4</v>
      </c>
      <c r="F4" s="4">
        <f>Setari!$B$2</f>
        <v>0.2</v>
      </c>
    </row>
    <row r="5" spans="1:6" ht="20.100000000000001" customHeight="1">
      <c r="A5" s="2" t="s">
        <v>5</v>
      </c>
      <c r="B5" s="3" t="s">
        <v>3</v>
      </c>
      <c r="C5" s="1"/>
      <c r="D5" s="1"/>
      <c r="E5" s="2" t="s">
        <v>6</v>
      </c>
      <c r="F5" s="5" t="str">
        <f>Setari!$B$4</f>
        <v>MDL</v>
      </c>
    </row>
    <row r="6" spans="1:6" ht="20.100000000000001" customHeight="1">
      <c r="A6" s="2" t="s">
        <v>7</v>
      </c>
      <c r="B6" s="6">
        <f ca="1">TODAY()</f>
        <v>46189</v>
      </c>
      <c r="C6" s="1"/>
      <c r="D6" s="1"/>
      <c r="E6" s="1"/>
      <c r="F6" s="1"/>
    </row>
    <row r="7" spans="1:6" ht="20.100000000000001" customHeight="1">
      <c r="A7" s="2" t="s">
        <v>8</v>
      </c>
      <c r="B7" s="7" t="s">
        <v>9</v>
      </c>
      <c r="C7" s="1"/>
      <c r="D7" s="1"/>
      <c r="E7" s="1"/>
      <c r="F7" s="1"/>
    </row>
    <row r="8" spans="1:6" ht="20.100000000000001" customHeight="1">
      <c r="A8" s="1"/>
      <c r="B8" s="1"/>
      <c r="C8" s="1"/>
      <c r="D8" s="1"/>
      <c r="E8" s="1"/>
      <c r="F8" s="1"/>
    </row>
    <row r="9" spans="1:6" ht="20.100000000000001" customHeight="1">
      <c r="A9" s="32" t="s">
        <v>10</v>
      </c>
      <c r="B9" s="31"/>
      <c r="C9" s="31"/>
      <c r="D9" s="31"/>
      <c r="E9" s="31"/>
      <c r="F9" s="31"/>
    </row>
    <row r="10" spans="1:6" ht="20.100000000000001" customHeight="1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</row>
    <row r="11" spans="1:6" ht="20.100000000000001" customHeight="1">
      <c r="A11" s="9"/>
      <c r="B11" s="10"/>
      <c r="C11" s="9"/>
      <c r="D11" s="9"/>
      <c r="E11" s="11"/>
      <c r="F11" s="11"/>
    </row>
    <row r="12" spans="1:6" ht="20.100000000000001" customHeight="1">
      <c r="A12" s="9"/>
      <c r="B12" s="10"/>
      <c r="C12" s="9"/>
      <c r="D12" s="9"/>
      <c r="E12" s="11"/>
      <c r="F12" s="11"/>
    </row>
    <row r="13" spans="1:6" ht="20.100000000000001" customHeight="1">
      <c r="A13" s="9"/>
      <c r="B13" s="10"/>
      <c r="C13" s="9"/>
      <c r="D13" s="9"/>
      <c r="E13" s="11"/>
      <c r="F13" s="11"/>
    </row>
    <row r="14" spans="1:6" ht="20.100000000000001" customHeight="1">
      <c r="A14" s="9"/>
      <c r="B14" s="10"/>
      <c r="C14" s="9"/>
      <c r="D14" s="9"/>
      <c r="E14" s="11"/>
      <c r="F14" s="11"/>
    </row>
    <row r="15" spans="1:6" ht="20.100000000000001" customHeight="1">
      <c r="A15" s="9"/>
      <c r="B15" s="10"/>
      <c r="C15" s="9"/>
      <c r="D15" s="9"/>
      <c r="E15" s="11"/>
      <c r="F15" s="11"/>
    </row>
    <row r="16" spans="1:6" ht="20.100000000000001" customHeight="1">
      <c r="A16" s="9"/>
      <c r="B16" s="10"/>
      <c r="C16" s="9"/>
      <c r="D16" s="9"/>
      <c r="E16" s="11"/>
      <c r="F16" s="11"/>
    </row>
    <row r="17" spans="1:6" ht="20.100000000000001" customHeight="1">
      <c r="A17" s="9"/>
      <c r="B17" s="10"/>
      <c r="C17" s="9"/>
      <c r="D17" s="9"/>
      <c r="E17" s="11"/>
      <c r="F17" s="11"/>
    </row>
    <row r="18" spans="1:6" ht="20.100000000000001" customHeight="1">
      <c r="A18" s="9"/>
      <c r="B18" s="10"/>
      <c r="C18" s="9"/>
      <c r="D18" s="9"/>
      <c r="E18" s="11"/>
      <c r="F18" s="11"/>
    </row>
    <row r="19" spans="1:6" ht="20.100000000000001" customHeight="1">
      <c r="A19" s="9"/>
      <c r="B19" s="10"/>
      <c r="C19" s="9"/>
      <c r="D19" s="9"/>
      <c r="E19" s="11"/>
      <c r="F19" s="11"/>
    </row>
    <row r="20" spans="1:6" ht="20.100000000000001" customHeight="1">
      <c r="A20" s="9"/>
      <c r="B20" s="10"/>
      <c r="C20" s="9"/>
      <c r="D20" s="9"/>
      <c r="E20" s="11"/>
      <c r="F20" s="11"/>
    </row>
    <row r="21" spans="1:6" ht="20.100000000000001" customHeight="1">
      <c r="A21" s="9"/>
      <c r="B21" s="10"/>
      <c r="C21" s="9"/>
      <c r="D21" s="9"/>
      <c r="E21" s="11"/>
      <c r="F21" s="11"/>
    </row>
    <row r="22" spans="1:6" ht="20.100000000000001" customHeight="1">
      <c r="A22" s="9"/>
      <c r="B22" s="10"/>
      <c r="C22" s="9"/>
      <c r="D22" s="9"/>
      <c r="E22" s="11"/>
      <c r="F22" s="11"/>
    </row>
    <row r="23" spans="1:6" ht="20.100000000000001" customHeight="1">
      <c r="A23" s="9"/>
      <c r="B23" s="10"/>
      <c r="C23" s="9"/>
      <c r="D23" s="9"/>
      <c r="E23" s="11"/>
      <c r="F23" s="11"/>
    </row>
    <row r="24" spans="1:6" ht="20.100000000000001" customHeight="1">
      <c r="A24" s="9"/>
      <c r="B24" s="10"/>
      <c r="C24" s="9"/>
      <c r="D24" s="9"/>
      <c r="E24" s="11"/>
      <c r="F24" s="11"/>
    </row>
    <row r="25" spans="1:6" ht="20.100000000000001" customHeight="1">
      <c r="A25" s="9"/>
      <c r="B25" s="10"/>
      <c r="C25" s="9"/>
      <c r="D25" s="9"/>
      <c r="E25" s="11"/>
      <c r="F25" s="11"/>
    </row>
    <row r="26" spans="1:6" ht="20.100000000000001" customHeight="1">
      <c r="A26" s="9"/>
      <c r="B26" s="10"/>
      <c r="C26" s="9"/>
      <c r="D26" s="9"/>
      <c r="E26" s="11"/>
      <c r="F26" s="11"/>
    </row>
    <row r="27" spans="1:6" ht="20.100000000000001" customHeight="1">
      <c r="A27" s="9"/>
      <c r="B27" s="10"/>
      <c r="C27" s="9"/>
      <c r="D27" s="9"/>
      <c r="E27" s="11"/>
      <c r="F27" s="11"/>
    </row>
    <row r="28" spans="1:6" ht="20.100000000000001" customHeight="1">
      <c r="A28" s="9"/>
      <c r="B28" s="10"/>
      <c r="C28" s="9"/>
      <c r="D28" s="9"/>
      <c r="E28" s="11"/>
      <c r="F28" s="11"/>
    </row>
    <row r="29" spans="1:6" ht="20.100000000000001" customHeight="1">
      <c r="A29" s="9"/>
      <c r="B29" s="10"/>
      <c r="C29" s="9"/>
      <c r="D29" s="9"/>
      <c r="E29" s="11"/>
      <c r="F29" s="11"/>
    </row>
    <row r="30" spans="1:6" ht="20.100000000000001" customHeight="1">
      <c r="A30" s="9"/>
      <c r="B30" s="10"/>
      <c r="C30" s="9"/>
      <c r="D30" s="9"/>
      <c r="E30" s="11"/>
      <c r="F30" s="11"/>
    </row>
    <row r="31" spans="1:6" ht="20.100000000000001" customHeight="1">
      <c r="A31" s="9"/>
      <c r="B31" s="10"/>
      <c r="C31" s="9"/>
      <c r="D31" s="9"/>
      <c r="E31" s="11"/>
      <c r="F31" s="11"/>
    </row>
    <row r="32" spans="1:6" ht="20.100000000000001" customHeight="1">
      <c r="A32" s="9"/>
      <c r="B32" s="10"/>
      <c r="C32" s="9"/>
      <c r="D32" s="9"/>
      <c r="E32" s="11"/>
      <c r="F32" s="11"/>
    </row>
    <row r="33" spans="1:6" ht="20.100000000000001" customHeight="1">
      <c r="A33" s="9"/>
      <c r="B33" s="10"/>
      <c r="C33" s="9"/>
      <c r="D33" s="9"/>
      <c r="E33" s="11"/>
      <c r="F33" s="11"/>
    </row>
    <row r="34" spans="1:6" ht="20.100000000000001" customHeight="1">
      <c r="A34" s="9"/>
      <c r="B34" s="10"/>
      <c r="C34" s="9"/>
      <c r="D34" s="9"/>
      <c r="E34" s="11"/>
      <c r="F34" s="11"/>
    </row>
    <row r="35" spans="1:6" ht="20.100000000000001" customHeight="1">
      <c r="A35" s="9"/>
      <c r="B35" s="10"/>
      <c r="C35" s="9"/>
      <c r="D35" s="9"/>
      <c r="E35" s="11"/>
      <c r="F35" s="11"/>
    </row>
    <row r="36" spans="1:6" ht="20.100000000000001" customHeight="1">
      <c r="A36" s="9"/>
      <c r="B36" s="10"/>
      <c r="C36" s="9"/>
      <c r="D36" s="9"/>
      <c r="E36" s="11"/>
      <c r="F36" s="11"/>
    </row>
    <row r="37" spans="1:6" ht="20.100000000000001" customHeight="1">
      <c r="A37" s="9"/>
      <c r="B37" s="10"/>
      <c r="C37" s="9"/>
      <c r="D37" s="9"/>
      <c r="E37" s="11"/>
      <c r="F37" s="11"/>
    </row>
    <row r="38" spans="1:6" ht="20.100000000000001" customHeight="1">
      <c r="A38" s="9"/>
      <c r="B38" s="10"/>
      <c r="C38" s="9"/>
      <c r="D38" s="9"/>
      <c r="E38" s="11"/>
      <c r="F38" s="11"/>
    </row>
    <row r="39" spans="1:6" ht="20.100000000000001" customHeight="1">
      <c r="A39" s="9"/>
      <c r="B39" s="10"/>
      <c r="C39" s="9"/>
      <c r="D39" s="9"/>
      <c r="E39" s="11"/>
      <c r="F39" s="11"/>
    </row>
    <row r="40" spans="1:6" ht="20.100000000000001" customHeight="1">
      <c r="A40" s="9"/>
      <c r="B40" s="10"/>
      <c r="C40" s="9"/>
      <c r="D40" s="9"/>
      <c r="E40" s="11"/>
      <c r="F40" s="11"/>
    </row>
    <row r="41" spans="1:6" ht="20.100000000000001" customHeight="1">
      <c r="A41" s="9"/>
      <c r="B41" s="10"/>
      <c r="C41" s="9"/>
      <c r="D41" s="9"/>
      <c r="E41" s="11"/>
      <c r="F41" s="11"/>
    </row>
    <row r="42" spans="1:6" ht="20.100000000000001" customHeight="1">
      <c r="A42" s="9"/>
      <c r="B42" s="10"/>
      <c r="C42" s="9"/>
      <c r="D42" s="9"/>
      <c r="E42" s="11"/>
      <c r="F42" s="11"/>
    </row>
    <row r="43" spans="1:6" ht="20.100000000000001" customHeight="1">
      <c r="A43" s="9"/>
      <c r="B43" s="10"/>
      <c r="C43" s="9"/>
      <c r="D43" s="9"/>
      <c r="E43" s="11"/>
      <c r="F43" s="11"/>
    </row>
    <row r="44" spans="1:6" ht="20.100000000000001" customHeight="1">
      <c r="A44" s="9"/>
      <c r="B44" s="10"/>
      <c r="C44" s="9"/>
      <c r="D44" s="9"/>
      <c r="E44" s="11"/>
      <c r="F44" s="11"/>
    </row>
    <row r="45" spans="1:6" ht="20.100000000000001" customHeight="1">
      <c r="A45" s="9" t="str">
        <f>IF(Introducere_interna!$B15="","",10)</f>
        <v/>
      </c>
      <c r="B45" s="10" t="str">
        <f>IF(Introducere_interna!$B15="","",Introducere_interna!$C15)</f>
        <v/>
      </c>
      <c r="C45" s="9" t="str">
        <f>IF(Introducere_interna!$B15="","",Introducere_interna!$D15)</f>
        <v/>
      </c>
      <c r="D45" s="9" t="str">
        <f>IF(Introducere_interna!$B15="","",Introducere_interna!$E15)</f>
        <v/>
      </c>
      <c r="E45" s="11" t="str">
        <f>IF(Introducere_interna!$B15="","",Introducere_interna!$F15)</f>
        <v/>
      </c>
      <c r="F45" s="11" t="str">
        <f>IF(Introducere_interna!$B15="","",Introducere_interna!$G15)</f>
        <v/>
      </c>
    </row>
    <row r="46" spans="1:6" ht="20.100000000000001" customHeight="1">
      <c r="A46" s="9" t="str">
        <f>IF(Introducere_interna!$B16="","",11)</f>
        <v/>
      </c>
      <c r="B46" s="10" t="str">
        <f>IF(Introducere_interna!$B16="","",Introducere_interna!$C16)</f>
        <v/>
      </c>
      <c r="C46" s="9" t="str">
        <f>IF(Introducere_interna!$B16="","",Introducere_interna!$D16)</f>
        <v/>
      </c>
      <c r="D46" s="9" t="str">
        <f>IF(Introducere_interna!$B16="","",Introducere_interna!$E16)</f>
        <v/>
      </c>
      <c r="E46" s="11" t="str">
        <f>IF(Introducere_interna!$B16="","",Introducere_interna!$F16)</f>
        <v/>
      </c>
      <c r="F46" s="11" t="str">
        <f>IF(Introducere_interna!$B16="","",Introducere_interna!$G16)</f>
        <v/>
      </c>
    </row>
    <row r="47" spans="1:6" ht="20.100000000000001" customHeight="1">
      <c r="A47" s="9" t="str">
        <f>IF(Introducere_interna!$B17="","",12)</f>
        <v/>
      </c>
      <c r="B47" s="10" t="str">
        <f>IF(Introducere_interna!$B17="","",Introducere_interna!$C17)</f>
        <v/>
      </c>
      <c r="C47" s="9" t="str">
        <f>IF(Introducere_interna!$B17="","",Introducere_interna!$D17)</f>
        <v/>
      </c>
      <c r="D47" s="9" t="str">
        <f>IF(Introducere_interna!$B17="","",Introducere_interna!$E17)</f>
        <v/>
      </c>
      <c r="E47" s="11" t="str">
        <f>IF(Introducere_interna!$B17="","",Introducere_interna!$F17)</f>
        <v/>
      </c>
      <c r="F47" s="11" t="str">
        <f>IF(Introducere_interna!$B17="","",Introducere_interna!$G17)</f>
        <v/>
      </c>
    </row>
    <row r="48" spans="1:6" ht="20.100000000000001" customHeight="1">
      <c r="A48" s="9" t="str">
        <f>IF(Introducere_interna!$B18="","",13)</f>
        <v/>
      </c>
      <c r="B48" s="10" t="str">
        <f>IF(Introducere_interna!$B18="","",Introducere_interna!$C18)</f>
        <v/>
      </c>
      <c r="C48" s="9" t="str">
        <f>IF(Introducere_interna!$B18="","",Introducere_interna!$D18)</f>
        <v/>
      </c>
      <c r="D48" s="9" t="str">
        <f>IF(Introducere_interna!$B18="","",Introducere_interna!$E18)</f>
        <v/>
      </c>
      <c r="E48" s="11" t="str">
        <f>IF(Introducere_interna!$B18="","",Introducere_interna!$F18)</f>
        <v/>
      </c>
      <c r="F48" s="11" t="str">
        <f>IF(Introducere_interna!$B18="","",Introducere_interna!$G18)</f>
        <v/>
      </c>
    </row>
    <row r="49" spans="1:6" ht="20.100000000000001" customHeight="1">
      <c r="A49" s="9" t="str">
        <f>IF(Introducere_interna!$B19="","",14)</f>
        <v/>
      </c>
      <c r="B49" s="10" t="str">
        <f>IF(Introducere_interna!$B19="","",Introducere_interna!$C19)</f>
        <v/>
      </c>
      <c r="C49" s="9" t="str">
        <f>IF(Introducere_interna!$B19="","",Introducere_interna!$D19)</f>
        <v/>
      </c>
      <c r="D49" s="9" t="str">
        <f>IF(Introducere_interna!$B19="","",Introducere_interna!$E19)</f>
        <v/>
      </c>
      <c r="E49" s="11" t="str">
        <f>IF(Introducere_interna!$B19="","",Introducere_interna!$F19)</f>
        <v/>
      </c>
      <c r="F49" s="11" t="str">
        <f>IF(Introducere_interna!$B19="","",Introducere_interna!$G19)</f>
        <v/>
      </c>
    </row>
    <row r="50" spans="1:6" ht="20.100000000000001" customHeight="1">
      <c r="A50" s="9" t="str">
        <f>IF(Introducere_interna!$B20="","",15)</f>
        <v/>
      </c>
      <c r="B50" s="10" t="str">
        <f>IF(Introducere_interna!$B20="","",Introducere_interna!$C20)</f>
        <v/>
      </c>
      <c r="C50" s="9" t="str">
        <f>IF(Introducere_interna!$B20="","",Introducere_interna!$D20)</f>
        <v/>
      </c>
      <c r="D50" s="9" t="str">
        <f>IF(Introducere_interna!$B20="","",Introducere_interna!$E20)</f>
        <v/>
      </c>
      <c r="E50" s="11" t="str">
        <f>IF(Introducere_interna!$B20="","",Introducere_interna!$F20)</f>
        <v/>
      </c>
      <c r="F50" s="11" t="str">
        <f>IF(Introducere_interna!$B20="","",Introducere_interna!$G20)</f>
        <v/>
      </c>
    </row>
    <row r="51" spans="1:6" ht="20.100000000000001" customHeight="1">
      <c r="A51" s="33" t="s">
        <v>17</v>
      </c>
      <c r="B51" s="34"/>
      <c r="C51" s="34"/>
      <c r="D51" s="34"/>
      <c r="E51" s="34"/>
      <c r="F51" s="12">
        <f>SUM(F20:F50)</f>
        <v>0</v>
      </c>
    </row>
    <row r="52" spans="1:6" ht="20.100000000000001" customHeight="1">
      <c r="A52" s="1"/>
      <c r="B52" s="1"/>
      <c r="C52" s="1"/>
      <c r="D52" s="1"/>
      <c r="E52" s="1"/>
      <c r="F52" s="1"/>
    </row>
    <row r="53" spans="1:6" ht="20.100000000000001" customHeight="1">
      <c r="A53" s="32" t="s">
        <v>18</v>
      </c>
      <c r="B53" s="31"/>
      <c r="C53" s="31"/>
      <c r="D53" s="31"/>
      <c r="E53" s="31"/>
      <c r="F53" s="31"/>
    </row>
    <row r="54" spans="1:6" ht="20.100000000000001" customHeight="1">
      <c r="A54" s="8" t="s">
        <v>11</v>
      </c>
      <c r="B54" s="8" t="s">
        <v>12</v>
      </c>
      <c r="C54" s="8" t="s">
        <v>13</v>
      </c>
      <c r="D54" s="8" t="s">
        <v>14</v>
      </c>
      <c r="E54" s="8" t="s">
        <v>15</v>
      </c>
      <c r="F54" s="8" t="s">
        <v>16</v>
      </c>
    </row>
    <row r="55" spans="1:6" ht="20.100000000000001" customHeight="1">
      <c r="A55" s="9"/>
      <c r="B55" s="10"/>
      <c r="C55" s="9"/>
      <c r="D55" s="9"/>
      <c r="E55" s="11"/>
      <c r="F55" s="11"/>
    </row>
    <row r="56" spans="1:6" ht="20.100000000000001" customHeight="1">
      <c r="A56" s="9"/>
      <c r="B56" s="10"/>
      <c r="C56" s="9"/>
      <c r="D56" s="9"/>
      <c r="E56" s="11"/>
      <c r="F56" s="11"/>
    </row>
    <row r="57" spans="1:6" ht="20.100000000000001" customHeight="1">
      <c r="A57" s="9"/>
      <c r="B57" s="10"/>
      <c r="C57" s="9"/>
      <c r="D57" s="9"/>
      <c r="E57" s="11"/>
      <c r="F57" s="11"/>
    </row>
    <row r="58" spans="1:6" ht="20.100000000000001" customHeight="1">
      <c r="A58" s="9"/>
      <c r="B58" s="10"/>
      <c r="C58" s="9"/>
      <c r="D58" s="9"/>
      <c r="E58" s="11"/>
      <c r="F58" s="11"/>
    </row>
    <row r="59" spans="1:6" ht="20.100000000000001" customHeight="1">
      <c r="A59" s="9"/>
      <c r="B59" s="10"/>
      <c r="C59" s="9"/>
      <c r="D59" s="9"/>
      <c r="E59" s="11"/>
      <c r="F59" s="11"/>
    </row>
    <row r="60" spans="1:6" ht="20.100000000000001" customHeight="1">
      <c r="A60" s="9"/>
      <c r="B60" s="10"/>
      <c r="C60" s="9"/>
      <c r="D60" s="9"/>
      <c r="E60" s="11"/>
      <c r="F60" s="11"/>
    </row>
    <row r="61" spans="1:6" ht="20.100000000000001" customHeight="1">
      <c r="A61" s="9"/>
      <c r="B61" s="10"/>
      <c r="C61" s="9"/>
      <c r="D61" s="9"/>
      <c r="E61" s="11"/>
      <c r="F61" s="11"/>
    </row>
    <row r="62" spans="1:6" ht="20.100000000000001" customHeight="1">
      <c r="A62" s="9"/>
      <c r="B62" s="10"/>
      <c r="C62" s="9"/>
      <c r="D62" s="9"/>
      <c r="E62" s="11"/>
      <c r="F62" s="11"/>
    </row>
    <row r="63" spans="1:6" ht="20.100000000000001" customHeight="1">
      <c r="A63" s="9"/>
      <c r="B63" s="10"/>
      <c r="C63" s="9"/>
      <c r="D63" s="9"/>
      <c r="E63" s="11"/>
      <c r="F63" s="11"/>
    </row>
    <row r="64" spans="1:6" ht="20.100000000000001" customHeight="1">
      <c r="A64" s="9"/>
      <c r="B64" s="10"/>
      <c r="C64" s="9"/>
      <c r="D64" s="9"/>
      <c r="E64" s="11"/>
      <c r="F64" s="11"/>
    </row>
    <row r="65" spans="1:6" ht="20.100000000000001" customHeight="1">
      <c r="A65" s="9"/>
      <c r="B65" s="10"/>
      <c r="C65" s="9"/>
      <c r="D65" s="9"/>
      <c r="E65" s="11"/>
      <c r="F65" s="11"/>
    </row>
    <row r="66" spans="1:6" ht="20.100000000000001" customHeight="1">
      <c r="A66" s="9"/>
      <c r="B66" s="10"/>
      <c r="C66" s="9"/>
      <c r="D66" s="9"/>
      <c r="E66" s="11"/>
      <c r="F66" s="11"/>
    </row>
    <row r="67" spans="1:6" ht="20.100000000000001" customHeight="1">
      <c r="A67" s="9"/>
      <c r="B67" s="10"/>
      <c r="C67" s="9"/>
      <c r="D67" s="9"/>
      <c r="E67" s="11"/>
      <c r="F67" s="11"/>
    </row>
    <row r="68" spans="1:6" ht="20.100000000000001" customHeight="1">
      <c r="A68" s="9"/>
      <c r="B68" s="10"/>
      <c r="C68" s="9"/>
      <c r="D68" s="9"/>
      <c r="E68" s="11"/>
      <c r="F68" s="11"/>
    </row>
    <row r="69" spans="1:6" ht="20.100000000000001" customHeight="1">
      <c r="A69" s="9"/>
      <c r="B69" s="10"/>
      <c r="C69" s="9"/>
      <c r="D69" s="9"/>
      <c r="E69" s="11"/>
      <c r="F69" s="11"/>
    </row>
    <row r="70" spans="1:6" ht="20.100000000000001" customHeight="1">
      <c r="A70" s="9"/>
      <c r="B70" s="10"/>
      <c r="C70" s="9"/>
      <c r="D70" s="9"/>
      <c r="E70" s="11"/>
      <c r="F70" s="11"/>
    </row>
    <row r="71" spans="1:6" ht="20.100000000000001" customHeight="1">
      <c r="A71" s="9"/>
      <c r="B71" s="10"/>
      <c r="C71" s="9"/>
      <c r="D71" s="9"/>
      <c r="E71" s="11"/>
      <c r="F71" s="11"/>
    </row>
    <row r="72" spans="1:6" ht="20.100000000000001" customHeight="1">
      <c r="A72" s="9"/>
      <c r="B72" s="10"/>
      <c r="C72" s="9"/>
      <c r="D72" s="9"/>
      <c r="E72" s="11"/>
      <c r="F72" s="11"/>
    </row>
    <row r="73" spans="1:6" ht="20.100000000000001" customHeight="1">
      <c r="A73" s="9"/>
      <c r="B73" s="10"/>
      <c r="C73" s="9"/>
      <c r="D73" s="9"/>
      <c r="E73" s="11"/>
      <c r="F73" s="11"/>
    </row>
    <row r="74" spans="1:6" ht="20.100000000000001" customHeight="1">
      <c r="A74" s="9" t="str">
        <f>IF(Introducere_interna!$B22="","",2)</f>
        <v/>
      </c>
      <c r="B74" s="10" t="str">
        <f>IF(Introducere_interna!$B22="","",Introducere_interna!$C22)</f>
        <v/>
      </c>
      <c r="C74" s="9" t="str">
        <f>IF(Introducere_interna!$B22="","",Introducere_interna!$D22)</f>
        <v/>
      </c>
      <c r="D74" s="9" t="str">
        <f>IF(Introducere_interna!$B22="","",Introducere_interna!$E22)</f>
        <v/>
      </c>
      <c r="E74" s="11" t="str">
        <f>IF(Introducere_interna!$B22="","",Introducere_interna!$F22)</f>
        <v/>
      </c>
      <c r="F74" s="11" t="str">
        <f>IF(Introducere_interna!$B22="","",Introducere_interna!$G22)</f>
        <v/>
      </c>
    </row>
    <row r="75" spans="1:6" ht="20.100000000000001" customHeight="1">
      <c r="A75" s="9" t="str">
        <f>IF(Introducere_interna!$B23="","",3)</f>
        <v/>
      </c>
      <c r="B75" s="10" t="str">
        <f>IF(Introducere_interna!$B23="","",Introducere_interna!$C23)</f>
        <v/>
      </c>
      <c r="C75" s="9" t="str">
        <f>IF(Introducere_interna!$B23="","",Introducere_interna!$D23)</f>
        <v/>
      </c>
      <c r="D75" s="9" t="str">
        <f>IF(Introducere_interna!$B23="","",Introducere_interna!$E23)</f>
        <v/>
      </c>
      <c r="E75" s="11" t="str">
        <f>IF(Introducere_interna!$B23="","",Introducere_interna!$F23)</f>
        <v/>
      </c>
      <c r="F75" s="11" t="str">
        <f>IF(Introducere_interna!$B23="","",Introducere_interna!$G23)</f>
        <v/>
      </c>
    </row>
    <row r="76" spans="1:6" ht="20.100000000000001" customHeight="1">
      <c r="A76" s="9" t="str">
        <f>IF(Introducere_interna!$B24="","",4)</f>
        <v/>
      </c>
      <c r="B76" s="10" t="str">
        <f>IF(Introducere_interna!$B24="","",Introducere_interna!$C24)</f>
        <v/>
      </c>
      <c r="C76" s="9" t="str">
        <f>IF(Introducere_interna!$B24="","",Introducere_interna!$D24)</f>
        <v/>
      </c>
      <c r="D76" s="9" t="str">
        <f>IF(Introducere_interna!$B24="","",Introducere_interna!$E24)</f>
        <v/>
      </c>
      <c r="E76" s="11" t="str">
        <f>IF(Introducere_interna!$B24="","",Introducere_interna!$F24)</f>
        <v/>
      </c>
      <c r="F76" s="11" t="str">
        <f>IF(Introducere_interna!$B24="","",Introducere_interna!$G24)</f>
        <v/>
      </c>
    </row>
    <row r="77" spans="1:6" ht="20.100000000000001" customHeight="1">
      <c r="A77" s="9" t="str">
        <f>IF(Introducere_interna!$B25="","",5)</f>
        <v/>
      </c>
      <c r="B77" s="10" t="str">
        <f>IF(Introducere_interna!$B25="","",Introducere_interna!$C25)</f>
        <v/>
      </c>
      <c r="C77" s="9" t="str">
        <f>IF(Introducere_interna!$B25="","",Introducere_interna!$D25)</f>
        <v/>
      </c>
      <c r="D77" s="9" t="str">
        <f>IF(Introducere_interna!$B25="","",Introducere_interna!$E25)</f>
        <v/>
      </c>
      <c r="E77" s="11" t="str">
        <f>IF(Introducere_interna!$B25="","",Introducere_interna!$F25)</f>
        <v/>
      </c>
      <c r="F77" s="11" t="str">
        <f>IF(Introducere_interna!$B25="","",Introducere_interna!$G25)</f>
        <v/>
      </c>
    </row>
    <row r="78" spans="1:6" ht="20.100000000000001" customHeight="1">
      <c r="A78" s="9" t="str">
        <f>IF(Introducere_interna!$B26="","",6)</f>
        <v/>
      </c>
      <c r="B78" s="10" t="str">
        <f>IF(Introducere_interna!$B26="","",Introducere_interna!$C26)</f>
        <v/>
      </c>
      <c r="C78" s="9" t="str">
        <f>IF(Introducere_interna!$B26="","",Introducere_interna!$D26)</f>
        <v/>
      </c>
      <c r="D78" s="9" t="str">
        <f>IF(Introducere_interna!$B26="","",Introducere_interna!$E26)</f>
        <v/>
      </c>
      <c r="E78" s="11" t="str">
        <f>IF(Introducere_interna!$B26="","",Introducere_interna!$F26)</f>
        <v/>
      </c>
      <c r="F78" s="11" t="str">
        <f>IF(Introducere_interna!$B26="","",Introducere_interna!$G26)</f>
        <v/>
      </c>
    </row>
    <row r="79" spans="1:6" ht="20.100000000000001" customHeight="1">
      <c r="A79" s="9" t="str">
        <f>IF(Introducere_interna!$B27="","",7)</f>
        <v/>
      </c>
      <c r="B79" s="10" t="str">
        <f>IF(Introducere_interna!$B27="","",Introducere_interna!$C27)</f>
        <v/>
      </c>
      <c r="C79" s="9" t="str">
        <f>IF(Introducere_interna!$B27="","",Introducere_interna!$D27)</f>
        <v/>
      </c>
      <c r="D79" s="9" t="str">
        <f>IF(Introducere_interna!$B27="","",Introducere_interna!$E27)</f>
        <v/>
      </c>
      <c r="E79" s="11" t="str">
        <f>IF(Introducere_interna!$B27="","",Introducere_interna!$F27)</f>
        <v/>
      </c>
      <c r="F79" s="11" t="str">
        <f>IF(Introducere_interna!$B27="","",Introducere_interna!$G27)</f>
        <v/>
      </c>
    </row>
    <row r="80" spans="1:6" ht="20.100000000000001" customHeight="1">
      <c r="A80" s="9" t="str">
        <f>IF(Introducere_interna!$B28="","",8)</f>
        <v/>
      </c>
      <c r="B80" s="10" t="str">
        <f>IF(Introducere_interna!$B28="","",Introducere_interna!$C28)</f>
        <v/>
      </c>
      <c r="C80" s="9" t="str">
        <f>IF(Introducere_interna!$B28="","",Introducere_interna!$D28)</f>
        <v/>
      </c>
      <c r="D80" s="9" t="str">
        <f>IF(Introducere_interna!$B28="","",Introducere_interna!$E28)</f>
        <v/>
      </c>
      <c r="E80" s="11" t="str">
        <f>IF(Introducere_interna!$B28="","",Introducere_interna!$F28)</f>
        <v/>
      </c>
      <c r="F80" s="11" t="str">
        <f>IF(Introducere_interna!$B28="","",Introducere_interna!$G28)</f>
        <v/>
      </c>
    </row>
    <row r="81" spans="1:6" ht="20.100000000000001" customHeight="1">
      <c r="A81" s="9" t="str">
        <f>IF(Introducere_interna!$B29="","",9)</f>
        <v/>
      </c>
      <c r="B81" s="10" t="str">
        <f>IF(Introducere_interna!$B29="","",Introducere_interna!$C29)</f>
        <v/>
      </c>
      <c r="C81" s="9" t="str">
        <f>IF(Introducere_interna!$B29="","",Introducere_interna!$D29)</f>
        <v/>
      </c>
      <c r="D81" s="9" t="str">
        <f>IF(Introducere_interna!$B29="","",Introducere_interna!$E29)</f>
        <v/>
      </c>
      <c r="E81" s="11" t="str">
        <f>IF(Introducere_interna!$B29="","",Introducere_interna!$F29)</f>
        <v/>
      </c>
      <c r="F81" s="11" t="str">
        <f>IF(Introducere_interna!$B29="","",Introducere_interna!$G29)</f>
        <v/>
      </c>
    </row>
    <row r="82" spans="1:6" ht="20.100000000000001" customHeight="1">
      <c r="A82" s="9" t="str">
        <f>IF(Introducere_interna!$B30="","",10)</f>
        <v/>
      </c>
      <c r="B82" s="10" t="str">
        <f>IF(Introducere_interna!$B30="","",Introducere_interna!$C30)</f>
        <v/>
      </c>
      <c r="C82" s="9" t="str">
        <f>IF(Introducere_interna!$B30="","",Introducere_interna!$D30)</f>
        <v/>
      </c>
      <c r="D82" s="9" t="str">
        <f>IF(Introducere_interna!$B30="","",Introducere_interna!$E30)</f>
        <v/>
      </c>
      <c r="E82" s="11" t="str">
        <f>IF(Introducere_interna!$B30="","",Introducere_interna!$F30)</f>
        <v/>
      </c>
      <c r="F82" s="11" t="str">
        <f>IF(Introducere_interna!$B30="","",Introducere_interna!$G30)</f>
        <v/>
      </c>
    </row>
    <row r="83" spans="1:6" ht="20.100000000000001" customHeight="1">
      <c r="A83" s="9" t="str">
        <f>IF(Introducere_interna!$B31="","",11)</f>
        <v/>
      </c>
      <c r="B83" s="10" t="str">
        <f>IF(Introducere_interna!$B31="","",Introducere_interna!$C31)</f>
        <v/>
      </c>
      <c r="C83" s="9" t="str">
        <f>IF(Introducere_interna!$B31="","",Introducere_interna!$D31)</f>
        <v/>
      </c>
      <c r="D83" s="9" t="str">
        <f>IF(Introducere_interna!$B31="","",Introducere_interna!$E31)</f>
        <v/>
      </c>
      <c r="E83" s="11" t="str">
        <f>IF(Introducere_interna!$B31="","",Introducere_interna!$F31)</f>
        <v/>
      </c>
      <c r="F83" s="11" t="str">
        <f>IF(Introducere_interna!$B31="","",Introducere_interna!$G31)</f>
        <v/>
      </c>
    </row>
    <row r="84" spans="1:6" ht="20.100000000000001" customHeight="1">
      <c r="A84" s="9" t="str">
        <f>IF(Introducere_interna!$B32="","",12)</f>
        <v/>
      </c>
      <c r="B84" s="10" t="str">
        <f>IF(Introducere_interna!$B32="","",Introducere_interna!$C32)</f>
        <v/>
      </c>
      <c r="C84" s="9" t="str">
        <f>IF(Introducere_interna!$B32="","",Introducere_interna!$D32)</f>
        <v/>
      </c>
      <c r="D84" s="9" t="str">
        <f>IF(Introducere_interna!$B32="","",Introducere_interna!$E32)</f>
        <v/>
      </c>
      <c r="E84" s="11" t="str">
        <f>IF(Introducere_interna!$B32="","",Introducere_interna!$F32)</f>
        <v/>
      </c>
      <c r="F84" s="11" t="str">
        <f>IF(Introducere_interna!$B32="","",Introducere_interna!$G32)</f>
        <v/>
      </c>
    </row>
    <row r="85" spans="1:6" ht="20.100000000000001" customHeight="1">
      <c r="A85" s="9" t="str">
        <f>IF(Introducere_interna!$B33="","",13)</f>
        <v/>
      </c>
      <c r="B85" s="10" t="str">
        <f>IF(Introducere_interna!$B33="","",Introducere_interna!$C33)</f>
        <v/>
      </c>
      <c r="C85" s="9" t="str">
        <f>IF(Introducere_interna!$B33="","",Introducere_interna!$D33)</f>
        <v/>
      </c>
      <c r="D85" s="9" t="str">
        <f>IF(Introducere_interna!$B33="","",Introducere_interna!$E33)</f>
        <v/>
      </c>
      <c r="E85" s="11" t="str">
        <f>IF(Introducere_interna!$B33="","",Introducere_interna!$F33)</f>
        <v/>
      </c>
      <c r="F85" s="11" t="str">
        <f>IF(Introducere_interna!$B33="","",Introducere_interna!$G33)</f>
        <v/>
      </c>
    </row>
    <row r="86" spans="1:6" ht="20.100000000000001" customHeight="1">
      <c r="A86" s="9" t="str">
        <f>IF(Introducere_interna!$B34="","",14)</f>
        <v/>
      </c>
      <c r="B86" s="10" t="str">
        <f>IF(Introducere_interna!$B34="","",Introducere_interna!$C34)</f>
        <v/>
      </c>
      <c r="C86" s="9" t="str">
        <f>IF(Introducere_interna!$B34="","",Introducere_interna!$D34)</f>
        <v/>
      </c>
      <c r="D86" s="9" t="str">
        <f>IF(Introducere_interna!$B34="","",Introducere_interna!$E34)</f>
        <v/>
      </c>
      <c r="E86" s="11" t="str">
        <f>IF(Introducere_interna!$B34="","",Introducere_interna!$F34)</f>
        <v/>
      </c>
      <c r="F86" s="11" t="str">
        <f>IF(Introducere_interna!$B34="","",Introducere_interna!$G34)</f>
        <v/>
      </c>
    </row>
    <row r="87" spans="1:6" ht="20.100000000000001" customHeight="1">
      <c r="A87" s="9" t="str">
        <f>IF(Introducere_interna!$B35="","",15)</f>
        <v/>
      </c>
      <c r="B87" s="10" t="str">
        <f>IF(Introducere_interna!$B35="","",Introducere_interna!$C35)</f>
        <v/>
      </c>
      <c r="C87" s="9" t="str">
        <f>IF(Introducere_interna!$B35="","",Introducere_interna!$D35)</f>
        <v/>
      </c>
      <c r="D87" s="9" t="str">
        <f>IF(Introducere_interna!$B35="","",Introducere_interna!$E35)</f>
        <v/>
      </c>
      <c r="E87" s="11" t="str">
        <f>IF(Introducere_interna!$B35="","",Introducere_interna!$F35)</f>
        <v/>
      </c>
      <c r="F87" s="11" t="str">
        <f>IF(Introducere_interna!$B35="","",Introducere_interna!$G35)</f>
        <v/>
      </c>
    </row>
    <row r="88" spans="1:6" ht="20.100000000000001" customHeight="1">
      <c r="A88" s="33" t="s">
        <v>19</v>
      </c>
      <c r="B88" s="34"/>
      <c r="C88" s="34"/>
      <c r="D88" s="34"/>
      <c r="E88" s="34"/>
      <c r="F88" s="12">
        <f>SUM(F73:F87)</f>
        <v>0</v>
      </c>
    </row>
    <row r="89" spans="1:6" ht="20.100000000000001" customHeight="1">
      <c r="A89" s="1"/>
      <c r="B89" s="1"/>
      <c r="C89" s="1"/>
      <c r="D89" s="1"/>
      <c r="E89" s="1"/>
      <c r="F89" s="1"/>
    </row>
    <row r="90" spans="1:6" ht="20.100000000000001" customHeight="1">
      <c r="A90" s="32" t="s">
        <v>20</v>
      </c>
      <c r="B90" s="31"/>
      <c r="C90" s="31"/>
      <c r="D90" s="31"/>
      <c r="E90" s="31"/>
      <c r="F90" s="31"/>
    </row>
    <row r="91" spans="1:6" ht="20.100000000000001" customHeight="1">
      <c r="A91" s="8" t="s">
        <v>11</v>
      </c>
      <c r="B91" s="8" t="s">
        <v>12</v>
      </c>
      <c r="C91" s="8" t="s">
        <v>13</v>
      </c>
      <c r="D91" s="8" t="s">
        <v>14</v>
      </c>
      <c r="E91" s="8" t="s">
        <v>15</v>
      </c>
      <c r="F91" s="8" t="s">
        <v>16</v>
      </c>
    </row>
    <row r="92" spans="1:6" ht="20.100000000000001" customHeight="1">
      <c r="A92" s="9" t="str">
        <f>IF(Introducere_interna!$B36="","",1)</f>
        <v/>
      </c>
      <c r="B92" s="10" t="str">
        <f>IF(Introducere_interna!$B36="","",Introducere_interna!$C36)</f>
        <v/>
      </c>
      <c r="C92" s="9" t="str">
        <f>IF(Introducere_interna!$B36="","",Introducere_interna!$D36)</f>
        <v/>
      </c>
      <c r="D92" s="9" t="str">
        <f>IF(Introducere_interna!$B36="","",Introducere_interna!$E36)</f>
        <v/>
      </c>
      <c r="E92" s="11" t="str">
        <f>IF(Introducere_interna!$B36="","",Introducere_interna!$F36)</f>
        <v/>
      </c>
      <c r="F92" s="11" t="str">
        <f>IF(Introducere_interna!$B36="","",Introducere_interna!$G36)</f>
        <v/>
      </c>
    </row>
    <row r="93" spans="1:6" ht="20.100000000000001" customHeight="1">
      <c r="A93" s="9" t="str">
        <f>IF(Introducere_interna!$B37="","",2)</f>
        <v/>
      </c>
      <c r="B93" s="10" t="str">
        <f>IF(Introducere_interna!$B37="","",Introducere_interna!$C37)</f>
        <v/>
      </c>
      <c r="C93" s="9" t="str">
        <f>IF(Introducere_interna!$B37="","",Introducere_interna!$D37)</f>
        <v/>
      </c>
      <c r="D93" s="9" t="str">
        <f>IF(Introducere_interna!$B37="","",Introducere_interna!$E37)</f>
        <v/>
      </c>
      <c r="E93" s="11" t="str">
        <f>IF(Introducere_interna!$B37="","",Introducere_interna!$F37)</f>
        <v/>
      </c>
      <c r="F93" s="11" t="str">
        <f>IF(Introducere_interna!$B37="","",Introducere_interna!$G37)</f>
        <v/>
      </c>
    </row>
    <row r="94" spans="1:6" ht="20.100000000000001" customHeight="1">
      <c r="A94" s="9"/>
      <c r="B94" s="10"/>
      <c r="C94" s="9"/>
      <c r="D94" s="9"/>
      <c r="E94" s="11"/>
      <c r="F94" s="11"/>
    </row>
    <row r="95" spans="1:6" ht="20.100000000000001" customHeight="1">
      <c r="A95" s="9"/>
      <c r="B95" s="10"/>
      <c r="C95" s="9"/>
      <c r="D95" s="9"/>
      <c r="E95" s="11"/>
      <c r="F95" s="11"/>
    </row>
    <row r="96" spans="1:6" ht="20.100000000000001" customHeight="1">
      <c r="A96" s="9"/>
      <c r="B96" s="10"/>
      <c r="C96" s="9"/>
      <c r="D96" s="9"/>
      <c r="E96" s="11"/>
      <c r="F96" s="11"/>
    </row>
    <row r="97" spans="1:6" ht="20.100000000000001" customHeight="1">
      <c r="A97" s="9"/>
      <c r="B97" s="10"/>
      <c r="C97" s="9"/>
      <c r="D97" s="9"/>
      <c r="E97" s="11"/>
      <c r="F97" s="11"/>
    </row>
    <row r="98" spans="1:6" ht="20.100000000000001" customHeight="1">
      <c r="A98" s="9"/>
      <c r="B98" s="10"/>
      <c r="C98" s="9"/>
      <c r="D98" s="9"/>
      <c r="E98" s="11"/>
      <c r="F98" s="11"/>
    </row>
    <row r="99" spans="1:6" ht="20.100000000000001" customHeight="1">
      <c r="A99" s="9"/>
      <c r="B99" s="10"/>
      <c r="C99" s="9"/>
      <c r="D99" s="9"/>
      <c r="E99" s="11"/>
      <c r="F99" s="11"/>
    </row>
    <row r="100" spans="1:6" ht="20.100000000000001" customHeight="1">
      <c r="A100" s="9"/>
      <c r="B100" s="10"/>
      <c r="C100" s="9"/>
      <c r="D100" s="9"/>
      <c r="E100" s="11"/>
      <c r="F100" s="11"/>
    </row>
    <row r="101" spans="1:6" ht="20.100000000000001" customHeight="1">
      <c r="A101" s="9"/>
      <c r="B101" s="10"/>
      <c r="C101" s="9"/>
      <c r="D101" s="9"/>
      <c r="E101" s="11"/>
      <c r="F101" s="11"/>
    </row>
    <row r="102" spans="1:6" ht="20.100000000000001" customHeight="1">
      <c r="A102" s="9"/>
      <c r="B102" s="10"/>
      <c r="C102" s="9"/>
      <c r="D102" s="9"/>
      <c r="E102" s="11"/>
      <c r="F102" s="11"/>
    </row>
    <row r="103" spans="1:6" ht="20.100000000000001" customHeight="1">
      <c r="A103" s="9"/>
      <c r="B103" s="10"/>
      <c r="C103" s="9"/>
      <c r="D103" s="9"/>
      <c r="E103" s="11"/>
      <c r="F103" s="11"/>
    </row>
    <row r="104" spans="1:6" ht="20.100000000000001" customHeight="1">
      <c r="A104" s="9"/>
      <c r="B104" s="10"/>
      <c r="C104" s="9"/>
      <c r="D104" s="9"/>
      <c r="E104" s="11"/>
      <c r="F104" s="11"/>
    </row>
    <row r="105" spans="1:6" ht="20.100000000000001" customHeight="1">
      <c r="A105" s="9"/>
      <c r="B105" s="10"/>
      <c r="C105" s="9"/>
      <c r="D105" s="9"/>
      <c r="E105" s="11"/>
      <c r="F105" s="11"/>
    </row>
    <row r="106" spans="1:6" ht="20.100000000000001" customHeight="1">
      <c r="A106" s="9"/>
      <c r="B106" s="10"/>
      <c r="C106" s="9"/>
      <c r="D106" s="9"/>
      <c r="E106" s="11"/>
      <c r="F106" s="11"/>
    </row>
    <row r="107" spans="1:6" ht="20.100000000000001" customHeight="1">
      <c r="A107" s="9"/>
      <c r="B107" s="10"/>
      <c r="C107" s="9"/>
      <c r="D107" s="9"/>
      <c r="E107" s="11"/>
      <c r="F107" s="11"/>
    </row>
    <row r="108" spans="1:6" ht="20.100000000000001" customHeight="1">
      <c r="A108" s="9"/>
      <c r="B108" s="10"/>
      <c r="C108" s="9"/>
      <c r="D108" s="9"/>
      <c r="E108" s="11"/>
      <c r="F108" s="11"/>
    </row>
    <row r="109" spans="1:6" ht="20.100000000000001" customHeight="1">
      <c r="A109" s="9"/>
      <c r="B109" s="10"/>
      <c r="C109" s="9"/>
      <c r="D109" s="9"/>
      <c r="E109" s="11"/>
      <c r="F109" s="11"/>
    </row>
    <row r="110" spans="1:6" ht="20.100000000000001" customHeight="1">
      <c r="A110" s="9" t="str">
        <f>IF(Introducere_interna!$B43="","",8)</f>
        <v/>
      </c>
      <c r="B110" s="10" t="str">
        <f>IF(Introducere_interna!$B43="","",Introducere_interna!$C43)</f>
        <v/>
      </c>
      <c r="C110" s="9" t="str">
        <f>IF(Introducere_interna!$B43="","",Introducere_interna!$D43)</f>
        <v/>
      </c>
      <c r="D110" s="9" t="str">
        <f>IF(Introducere_interna!$B43="","",Introducere_interna!$E43)</f>
        <v/>
      </c>
      <c r="E110" s="11" t="str">
        <f>IF(Introducere_interna!$B43="","",Introducere_interna!$F43)</f>
        <v/>
      </c>
      <c r="F110" s="11" t="str">
        <f>IF(Introducere_interna!$B43="","",Introducere_interna!$G43)</f>
        <v/>
      </c>
    </row>
    <row r="111" spans="1:6" ht="20.100000000000001" customHeight="1">
      <c r="A111" s="9" t="str">
        <f>IF(Introducere_interna!$B44="","",9)</f>
        <v/>
      </c>
      <c r="B111" s="10" t="str">
        <f>IF(Introducere_interna!$B44="","",Introducere_interna!$C44)</f>
        <v/>
      </c>
      <c r="C111" s="9" t="str">
        <f>IF(Introducere_interna!$B44="","",Introducere_interna!$D44)</f>
        <v/>
      </c>
      <c r="D111" s="9" t="str">
        <f>IF(Introducere_interna!$B44="","",Introducere_interna!$E44)</f>
        <v/>
      </c>
      <c r="E111" s="11" t="str">
        <f>IF(Introducere_interna!$B44="","",Introducere_interna!$F44)</f>
        <v/>
      </c>
      <c r="F111" s="11" t="str">
        <f>IF(Introducere_interna!$B44="","",Introducere_interna!$G44)</f>
        <v/>
      </c>
    </row>
    <row r="112" spans="1:6" ht="20.100000000000001" customHeight="1">
      <c r="A112" s="9" t="str">
        <f>IF(Introducere_interna!$B45="","",10)</f>
        <v/>
      </c>
      <c r="B112" s="10" t="str">
        <f>IF(Introducere_interna!$B45="","",Introducere_interna!$C45)</f>
        <v/>
      </c>
      <c r="C112" s="9" t="str">
        <f>IF(Introducere_interna!$B45="","",Introducere_interna!$D45)</f>
        <v/>
      </c>
      <c r="D112" s="9" t="str">
        <f>IF(Introducere_interna!$B45="","",Introducere_interna!$E45)</f>
        <v/>
      </c>
      <c r="E112" s="11" t="str">
        <f>IF(Introducere_interna!$B45="","",Introducere_interna!$F45)</f>
        <v/>
      </c>
      <c r="F112" s="11" t="str">
        <f>IF(Introducere_interna!$B45="","",Introducere_interna!$G45)</f>
        <v/>
      </c>
    </row>
    <row r="113" spans="1:6" ht="20.100000000000001" customHeight="1">
      <c r="A113" s="9" t="str">
        <f>IF(Introducere_interna!$B46="","",11)</f>
        <v/>
      </c>
      <c r="B113" s="10" t="str">
        <f>IF(Introducere_interna!$B46="","",Introducere_interna!$C46)</f>
        <v/>
      </c>
      <c r="C113" s="9" t="str">
        <f>IF(Introducere_interna!$B46="","",Introducere_interna!$D46)</f>
        <v/>
      </c>
      <c r="D113" s="9" t="str">
        <f>IF(Introducere_interna!$B46="","",Introducere_interna!$E46)</f>
        <v/>
      </c>
      <c r="E113" s="11" t="str">
        <f>IF(Introducere_interna!$B46="","",Introducere_interna!$F46)</f>
        <v/>
      </c>
      <c r="F113" s="11" t="str">
        <f>IF(Introducere_interna!$B46="","",Introducere_interna!$G46)</f>
        <v/>
      </c>
    </row>
    <row r="114" spans="1:6" ht="20.100000000000001" customHeight="1">
      <c r="A114" s="9" t="str">
        <f>IF(Introducere_interna!$B47="","",12)</f>
        <v/>
      </c>
      <c r="B114" s="10" t="str">
        <f>IF(Introducere_interna!$B47="","",Introducere_interna!$C47)</f>
        <v/>
      </c>
      <c r="C114" s="9" t="str">
        <f>IF(Introducere_interna!$B47="","",Introducere_interna!$D47)</f>
        <v/>
      </c>
      <c r="D114" s="9" t="str">
        <f>IF(Introducere_interna!$B47="","",Introducere_interna!$E47)</f>
        <v/>
      </c>
      <c r="E114" s="11" t="str">
        <f>IF(Introducere_interna!$B47="","",Introducere_interna!$F47)</f>
        <v/>
      </c>
      <c r="F114" s="11" t="str">
        <f>IF(Introducere_interna!$B47="","",Introducere_interna!$G47)</f>
        <v/>
      </c>
    </row>
    <row r="115" spans="1:6" ht="20.100000000000001" customHeight="1">
      <c r="A115" s="9" t="str">
        <f>IF(Introducere_interna!$B48="","",13)</f>
        <v/>
      </c>
      <c r="B115" s="10" t="str">
        <f>IF(Introducere_interna!$B48="","",Introducere_interna!$C48)</f>
        <v/>
      </c>
      <c r="C115" s="9" t="str">
        <f>IF(Introducere_interna!$B48="","",Introducere_interna!$D48)</f>
        <v/>
      </c>
      <c r="D115" s="9" t="str">
        <f>IF(Introducere_interna!$B48="","",Introducere_interna!$E48)</f>
        <v/>
      </c>
      <c r="E115" s="11" t="str">
        <f>IF(Introducere_interna!$B48="","",Introducere_interna!$F48)</f>
        <v/>
      </c>
      <c r="F115" s="11" t="str">
        <f>IF(Introducere_interna!$B48="","",Introducere_interna!$G48)</f>
        <v/>
      </c>
    </row>
    <row r="116" spans="1:6" ht="20.100000000000001" customHeight="1">
      <c r="A116" s="9" t="str">
        <f>IF(Introducere_interna!$B49="","",14)</f>
        <v/>
      </c>
      <c r="B116" s="10" t="str">
        <f>IF(Introducere_interna!$B49="","",Introducere_interna!$C49)</f>
        <v/>
      </c>
      <c r="C116" s="9" t="str">
        <f>IF(Introducere_interna!$B49="","",Introducere_interna!$D49)</f>
        <v/>
      </c>
      <c r="D116" s="9" t="str">
        <f>IF(Introducere_interna!$B49="","",Introducere_interna!$E49)</f>
        <v/>
      </c>
      <c r="E116" s="11" t="str">
        <f>IF(Introducere_interna!$B49="","",Introducere_interna!$F49)</f>
        <v/>
      </c>
      <c r="F116" s="11" t="str">
        <f>IF(Introducere_interna!$B49="","",Introducere_interna!$G49)</f>
        <v/>
      </c>
    </row>
    <row r="117" spans="1:6" ht="20.100000000000001" customHeight="1">
      <c r="A117" s="9" t="str">
        <f>IF(Introducere_interna!$B50="","",15)</f>
        <v/>
      </c>
      <c r="B117" s="10" t="str">
        <f>IF(Introducere_interna!$B50="","",Introducere_interna!$C50)</f>
        <v/>
      </c>
      <c r="C117" s="9" t="str">
        <f>IF(Introducere_interna!$B50="","",Introducere_interna!$D50)</f>
        <v/>
      </c>
      <c r="D117" s="9" t="str">
        <f>IF(Introducere_interna!$B50="","",Introducere_interna!$E50)</f>
        <v/>
      </c>
      <c r="E117" s="11" t="str">
        <f>IF(Introducere_interna!$B50="","",Introducere_interna!$F50)</f>
        <v/>
      </c>
      <c r="F117" s="11" t="str">
        <f>IF(Introducere_interna!$B50="","",Introducere_interna!$G50)</f>
        <v/>
      </c>
    </row>
    <row r="118" spans="1:6" ht="20.100000000000001" customHeight="1">
      <c r="A118" s="33" t="s">
        <v>21</v>
      </c>
      <c r="B118" s="34"/>
      <c r="C118" s="34"/>
      <c r="D118" s="34"/>
      <c r="E118" s="34"/>
      <c r="F118" s="12">
        <f>SUM(F92:F117)</f>
        <v>0</v>
      </c>
    </row>
    <row r="119" spans="1:6" ht="20.100000000000001" customHeight="1">
      <c r="A119" s="1"/>
      <c r="B119" s="1"/>
      <c r="C119" s="1"/>
      <c r="D119" s="1"/>
      <c r="E119" s="1"/>
      <c r="F119" s="1"/>
    </row>
    <row r="120" spans="1:6" ht="20.100000000000001" customHeight="1">
      <c r="A120" s="32" t="s">
        <v>22</v>
      </c>
      <c r="B120" s="31"/>
      <c r="C120" s="31"/>
      <c r="D120" s="31"/>
      <c r="E120" s="31"/>
      <c r="F120" s="31"/>
    </row>
    <row r="121" spans="1:6" ht="20.100000000000001" customHeight="1">
      <c r="A121" s="8" t="s">
        <v>11</v>
      </c>
      <c r="B121" s="8" t="s">
        <v>12</v>
      </c>
      <c r="C121" s="8" t="s">
        <v>13</v>
      </c>
      <c r="D121" s="8" t="s">
        <v>14</v>
      </c>
      <c r="E121" s="8" t="s">
        <v>15</v>
      </c>
      <c r="F121" s="8" t="s">
        <v>16</v>
      </c>
    </row>
    <row r="122" spans="1:6" ht="20.100000000000001" customHeight="1">
      <c r="A122" s="9" t="str">
        <f>IF(Introducere_interna!$B51="","",1)</f>
        <v/>
      </c>
      <c r="B122" s="10" t="str">
        <f>IF(Introducere_interna!$B51="","",Introducere_interna!$C51)</f>
        <v/>
      </c>
      <c r="C122" s="9" t="str">
        <f>IF(Introducere_interna!$B51="","",Introducere_interna!$D51)</f>
        <v/>
      </c>
      <c r="D122" s="9" t="str">
        <f>IF(Introducere_interna!$B51="","",Introducere_interna!$E51)</f>
        <v/>
      </c>
      <c r="E122" s="11" t="str">
        <f>IF(Introducere_interna!$B51="","",Introducere_interna!$F51)</f>
        <v/>
      </c>
      <c r="F122" s="11" t="str">
        <f>IF(Introducere_interna!$B51="","",Introducere_interna!$G51)</f>
        <v/>
      </c>
    </row>
    <row r="123" spans="1:6" ht="20.100000000000001" customHeight="1">
      <c r="A123" s="9" t="str">
        <f>IF(Introducere_interna!$B52="","",2)</f>
        <v/>
      </c>
      <c r="B123" s="10" t="str">
        <f>IF(Introducere_interna!$B52="","",Introducere_interna!$C52)</f>
        <v/>
      </c>
      <c r="C123" s="9" t="str">
        <f>IF(Introducere_interna!$B52="","",Introducere_interna!$D52)</f>
        <v/>
      </c>
      <c r="D123" s="9" t="str">
        <f>IF(Introducere_interna!$B52="","",Introducere_interna!$E52)</f>
        <v/>
      </c>
      <c r="E123" s="11" t="str">
        <f>IF(Introducere_interna!$B52="","",Introducere_interna!$F52)</f>
        <v/>
      </c>
      <c r="F123" s="11" t="str">
        <f>IF(Introducere_interna!$B52="","",Introducere_interna!$G52)</f>
        <v/>
      </c>
    </row>
    <row r="124" spans="1:6" ht="20.100000000000001" customHeight="1">
      <c r="A124" s="9"/>
      <c r="B124" s="10"/>
      <c r="C124" s="9"/>
      <c r="D124" s="9"/>
      <c r="E124" s="11"/>
      <c r="F124" s="11"/>
    </row>
    <row r="125" spans="1:6" ht="20.100000000000001" customHeight="1">
      <c r="A125" s="9"/>
      <c r="B125" s="10"/>
      <c r="C125" s="9"/>
      <c r="D125" s="9"/>
      <c r="E125" s="11"/>
      <c r="F125" s="11"/>
    </row>
    <row r="126" spans="1:6" ht="20.100000000000001" customHeight="1">
      <c r="A126" s="9"/>
      <c r="B126" s="10"/>
      <c r="C126" s="9"/>
      <c r="D126" s="9"/>
      <c r="E126" s="11"/>
      <c r="F126" s="11"/>
    </row>
    <row r="127" spans="1:6" ht="20.100000000000001" customHeight="1">
      <c r="A127" s="9"/>
      <c r="B127" s="10"/>
      <c r="C127" s="9"/>
      <c r="D127" s="9"/>
      <c r="E127" s="11"/>
      <c r="F127" s="11"/>
    </row>
    <row r="128" spans="1:6" ht="20.100000000000001" customHeight="1">
      <c r="A128" s="9"/>
      <c r="B128" s="10"/>
      <c r="C128" s="9"/>
      <c r="D128" s="9"/>
      <c r="E128" s="11"/>
      <c r="F128" s="11"/>
    </row>
    <row r="129" spans="1:6" ht="20.100000000000001" customHeight="1">
      <c r="A129" s="9"/>
      <c r="B129" s="10"/>
      <c r="C129" s="9"/>
      <c r="D129" s="9"/>
      <c r="E129" s="11"/>
      <c r="F129" s="11"/>
    </row>
    <row r="130" spans="1:6" ht="20.100000000000001" customHeight="1">
      <c r="A130" s="9"/>
      <c r="B130" s="10"/>
      <c r="C130" s="9"/>
      <c r="D130" s="9"/>
      <c r="E130" s="11"/>
      <c r="F130" s="11"/>
    </row>
    <row r="131" spans="1:6" ht="20.100000000000001" customHeight="1">
      <c r="A131" s="9"/>
      <c r="B131" s="10"/>
      <c r="C131" s="9"/>
      <c r="D131" s="9"/>
      <c r="E131" s="11"/>
      <c r="F131" s="11"/>
    </row>
    <row r="132" spans="1:6" ht="20.100000000000001" customHeight="1">
      <c r="A132" s="9"/>
      <c r="B132" s="10"/>
      <c r="C132" s="9"/>
      <c r="D132" s="9"/>
      <c r="E132" s="11"/>
      <c r="F132" s="11"/>
    </row>
    <row r="133" spans="1:6" ht="20.100000000000001" customHeight="1">
      <c r="A133" s="9"/>
      <c r="B133" s="10"/>
      <c r="C133" s="9"/>
      <c r="D133" s="9"/>
      <c r="E133" s="11"/>
      <c r="F133" s="11"/>
    </row>
    <row r="134" spans="1:6" ht="20.100000000000001" customHeight="1">
      <c r="A134" s="9" t="str">
        <f>IF(Introducere_interna!$B53="","",3)</f>
        <v/>
      </c>
      <c r="B134" s="10" t="str">
        <f>IF(Introducere_interna!$B53="","",Introducere_interna!$C53)</f>
        <v/>
      </c>
      <c r="C134" s="9" t="str">
        <f>IF(Introducere_interna!$B53="","",Introducere_interna!$D53)</f>
        <v/>
      </c>
      <c r="D134" s="9" t="str">
        <f>IF(Introducere_interna!$B53="","",Introducere_interna!$E53)</f>
        <v/>
      </c>
      <c r="E134" s="11" t="str">
        <f>IF(Introducere_interna!$B53="","",Introducere_interna!$F53)</f>
        <v/>
      </c>
      <c r="F134" s="11" t="str">
        <f>IF(Introducere_interna!$B53="","",Introducere_interna!$G53)</f>
        <v/>
      </c>
    </row>
    <row r="135" spans="1:6" ht="20.100000000000001" customHeight="1">
      <c r="A135" s="9" t="str">
        <f>IF(Introducere_interna!$B54="","",4)</f>
        <v/>
      </c>
      <c r="B135" s="10" t="str">
        <f>IF(Introducere_interna!$B54="","",Introducere_interna!$C54)</f>
        <v/>
      </c>
      <c r="C135" s="9" t="str">
        <f>IF(Introducere_interna!$B54="","",Introducere_interna!$D54)</f>
        <v/>
      </c>
      <c r="D135" s="9" t="str">
        <f>IF(Introducere_interna!$B54="","",Introducere_interna!$E54)</f>
        <v/>
      </c>
      <c r="E135" s="11" t="str">
        <f>IF(Introducere_interna!$B54="","",Introducere_interna!$F54)</f>
        <v/>
      </c>
      <c r="F135" s="11" t="str">
        <f>IF(Introducere_interna!$B54="","",Introducere_interna!$G54)</f>
        <v/>
      </c>
    </row>
    <row r="136" spans="1:6" ht="20.100000000000001" customHeight="1">
      <c r="A136" s="9" t="str">
        <f>IF(Introducere_interna!$B55="","",5)</f>
        <v/>
      </c>
      <c r="B136" s="10" t="str">
        <f>IF(Introducere_interna!$B55="","",Introducere_interna!$C55)</f>
        <v/>
      </c>
      <c r="C136" s="9" t="str">
        <f>IF(Introducere_interna!$B55="","",Introducere_interna!$D55)</f>
        <v/>
      </c>
      <c r="D136" s="9" t="str">
        <f>IF(Introducere_interna!$B55="","",Introducere_interna!$E55)</f>
        <v/>
      </c>
      <c r="E136" s="11" t="str">
        <f>IF(Introducere_interna!$B55="","",Introducere_interna!$F55)</f>
        <v/>
      </c>
      <c r="F136" s="11" t="str">
        <f>IF(Introducere_interna!$B55="","",Introducere_interna!$G55)</f>
        <v/>
      </c>
    </row>
    <row r="137" spans="1:6" ht="20.100000000000001" customHeight="1">
      <c r="A137" s="9" t="str">
        <f>IF(Introducere_interna!$B56="","",6)</f>
        <v/>
      </c>
      <c r="B137" s="10" t="str">
        <f>IF(Introducere_interna!$B56="","",Introducere_interna!$C56)</f>
        <v/>
      </c>
      <c r="C137" s="9" t="str">
        <f>IF(Introducere_interna!$B56="","",Introducere_interna!$D56)</f>
        <v/>
      </c>
      <c r="D137" s="9" t="str">
        <f>IF(Introducere_interna!$B56="","",Introducere_interna!$E56)</f>
        <v/>
      </c>
      <c r="E137" s="11" t="str">
        <f>IF(Introducere_interna!$B56="","",Introducere_interna!$F56)</f>
        <v/>
      </c>
      <c r="F137" s="11" t="str">
        <f>IF(Introducere_interna!$B56="","",Introducere_interna!$G56)</f>
        <v/>
      </c>
    </row>
    <row r="138" spans="1:6" ht="20.100000000000001" customHeight="1">
      <c r="A138" s="9" t="str">
        <f>IF(Introducere_interna!$B57="","",7)</f>
        <v/>
      </c>
      <c r="B138" s="10" t="str">
        <f>IF(Introducere_interna!$B57="","",Introducere_interna!$C57)</f>
        <v/>
      </c>
      <c r="C138" s="9" t="str">
        <f>IF(Introducere_interna!$B57="","",Introducere_interna!$D57)</f>
        <v/>
      </c>
      <c r="D138" s="9" t="str">
        <f>IF(Introducere_interna!$B57="","",Introducere_interna!$E57)</f>
        <v/>
      </c>
      <c r="E138" s="11" t="str">
        <f>IF(Introducere_interna!$B57="","",Introducere_interna!$F57)</f>
        <v/>
      </c>
      <c r="F138" s="11" t="str">
        <f>IF(Introducere_interna!$B57="","",Introducere_interna!$G57)</f>
        <v/>
      </c>
    </row>
    <row r="139" spans="1:6" ht="20.100000000000001" customHeight="1">
      <c r="A139" s="9" t="str">
        <f>IF(Introducere_interna!$B58="","",8)</f>
        <v/>
      </c>
      <c r="B139" s="10" t="str">
        <f>IF(Introducere_interna!$B58="","",Introducere_interna!$C58)</f>
        <v/>
      </c>
      <c r="C139" s="9" t="str">
        <f>IF(Introducere_interna!$B58="","",Introducere_interna!$D58)</f>
        <v/>
      </c>
      <c r="D139" s="9" t="str">
        <f>IF(Introducere_interna!$B58="","",Introducere_interna!$E58)</f>
        <v/>
      </c>
      <c r="E139" s="11" t="str">
        <f>IF(Introducere_interna!$B58="","",Introducere_interna!$F58)</f>
        <v/>
      </c>
      <c r="F139" s="11" t="str">
        <f>IF(Introducere_interna!$B58="","",Introducere_interna!$G58)</f>
        <v/>
      </c>
    </row>
    <row r="140" spans="1:6" ht="20.100000000000001" customHeight="1">
      <c r="A140" s="9" t="str">
        <f>IF(Introducere_interna!$B59="","",9)</f>
        <v/>
      </c>
      <c r="B140" s="10" t="str">
        <f>IF(Introducere_interna!$B59="","",Introducere_interna!$C59)</f>
        <v/>
      </c>
      <c r="C140" s="9" t="str">
        <f>IF(Introducere_interna!$B59="","",Introducere_interna!$D59)</f>
        <v/>
      </c>
      <c r="D140" s="9" t="str">
        <f>IF(Introducere_interna!$B59="","",Introducere_interna!$E59)</f>
        <v/>
      </c>
      <c r="E140" s="11" t="str">
        <f>IF(Introducere_interna!$B59="","",Introducere_interna!$F59)</f>
        <v/>
      </c>
      <c r="F140" s="11" t="str">
        <f>IF(Introducere_interna!$B59="","",Introducere_interna!$G59)</f>
        <v/>
      </c>
    </row>
    <row r="141" spans="1:6" ht="20.100000000000001" customHeight="1">
      <c r="A141" s="9" t="str">
        <f>IF(Introducere_interna!$B60="","",10)</f>
        <v/>
      </c>
      <c r="B141" s="10" t="str">
        <f>IF(Introducere_interna!$B60="","",Introducere_interna!$C60)</f>
        <v/>
      </c>
      <c r="C141" s="9" t="str">
        <f>IF(Introducere_interna!$B60="","",Introducere_interna!$D60)</f>
        <v/>
      </c>
      <c r="D141" s="9" t="str">
        <f>IF(Introducere_interna!$B60="","",Introducere_interna!$E60)</f>
        <v/>
      </c>
      <c r="E141" s="11" t="str">
        <f>IF(Introducere_interna!$B60="","",Introducere_interna!$F60)</f>
        <v/>
      </c>
      <c r="F141" s="11" t="str">
        <f>IF(Introducere_interna!$B60="","",Introducere_interna!$G60)</f>
        <v/>
      </c>
    </row>
    <row r="142" spans="1:6" ht="20.100000000000001" customHeight="1">
      <c r="A142" s="9" t="str">
        <f>IF(Introducere_interna!$B61="","",11)</f>
        <v/>
      </c>
      <c r="B142" s="10" t="str">
        <f>IF(Introducere_interna!$B61="","",Introducere_interna!$C61)</f>
        <v/>
      </c>
      <c r="C142" s="9" t="str">
        <f>IF(Introducere_interna!$B61="","",Introducere_interna!$D61)</f>
        <v/>
      </c>
      <c r="D142" s="9" t="str">
        <f>IF(Introducere_interna!$B61="","",Introducere_interna!$E61)</f>
        <v/>
      </c>
      <c r="E142" s="11" t="str">
        <f>IF(Introducere_interna!$B61="","",Introducere_interna!$F61)</f>
        <v/>
      </c>
      <c r="F142" s="11" t="str">
        <f>IF(Introducere_interna!$B61="","",Introducere_interna!$G61)</f>
        <v/>
      </c>
    </row>
    <row r="143" spans="1:6" ht="20.100000000000001" customHeight="1">
      <c r="A143" s="9" t="str">
        <f>IF(Introducere_interna!$B62="","",12)</f>
        <v/>
      </c>
      <c r="B143" s="10" t="str">
        <f>IF(Introducere_interna!$B62="","",Introducere_interna!$C62)</f>
        <v/>
      </c>
      <c r="C143" s="9" t="str">
        <f>IF(Introducere_interna!$B62="","",Introducere_interna!$D62)</f>
        <v/>
      </c>
      <c r="D143" s="9" t="str">
        <f>IF(Introducere_interna!$B62="","",Introducere_interna!$E62)</f>
        <v/>
      </c>
      <c r="E143" s="11" t="str">
        <f>IF(Introducere_interna!$B62="","",Introducere_interna!$F62)</f>
        <v/>
      </c>
      <c r="F143" s="11" t="str">
        <f>IF(Introducere_interna!$B62="","",Introducere_interna!$G62)</f>
        <v/>
      </c>
    </row>
    <row r="144" spans="1:6" ht="20.100000000000001" customHeight="1">
      <c r="A144" s="9" t="str">
        <f>IF(Introducere_interna!$B63="","",13)</f>
        <v/>
      </c>
      <c r="B144" s="10" t="str">
        <f>IF(Introducere_interna!$B63="","",Introducere_interna!$C63)</f>
        <v/>
      </c>
      <c r="C144" s="9" t="str">
        <f>IF(Introducere_interna!$B63="","",Introducere_interna!$D63)</f>
        <v/>
      </c>
      <c r="D144" s="9" t="str">
        <f>IF(Introducere_interna!$B63="","",Introducere_interna!$E63)</f>
        <v/>
      </c>
      <c r="E144" s="11" t="str">
        <f>IF(Introducere_interna!$B63="","",Introducere_interna!$F63)</f>
        <v/>
      </c>
      <c r="F144" s="11" t="str">
        <f>IF(Introducere_interna!$B63="","",Introducere_interna!$G63)</f>
        <v/>
      </c>
    </row>
    <row r="145" spans="1:6" ht="20.100000000000001" customHeight="1">
      <c r="A145" s="9" t="str">
        <f>IF(Introducere_interna!$B64="","",14)</f>
        <v/>
      </c>
      <c r="B145" s="10" t="str">
        <f>IF(Introducere_interna!$B64="","",Introducere_interna!$C64)</f>
        <v/>
      </c>
      <c r="C145" s="9" t="str">
        <f>IF(Introducere_interna!$B64="","",Introducere_interna!$D64)</f>
        <v/>
      </c>
      <c r="D145" s="9" t="str">
        <f>IF(Introducere_interna!$B64="","",Introducere_interna!$E64)</f>
        <v/>
      </c>
      <c r="E145" s="11" t="str">
        <f>IF(Introducere_interna!$B64="","",Introducere_interna!$F64)</f>
        <v/>
      </c>
      <c r="F145" s="11" t="str">
        <f>IF(Introducere_interna!$B64="","",Introducere_interna!$G64)</f>
        <v/>
      </c>
    </row>
    <row r="146" spans="1:6" ht="20.100000000000001" customHeight="1">
      <c r="A146" s="9" t="str">
        <f>IF(Introducere_interna!$B65="","",15)</f>
        <v/>
      </c>
      <c r="B146" s="10" t="str">
        <f>IF(Introducere_interna!$B65="","",Introducere_interna!$C65)</f>
        <v/>
      </c>
      <c r="C146" s="9" t="str">
        <f>IF(Introducere_interna!$B65="","",Introducere_interna!$D65)</f>
        <v/>
      </c>
      <c r="D146" s="9" t="str">
        <f>IF(Introducere_interna!$B65="","",Introducere_interna!$E65)</f>
        <v/>
      </c>
      <c r="E146" s="11" t="str">
        <f>IF(Introducere_interna!$B65="","",Introducere_interna!$F65)</f>
        <v/>
      </c>
      <c r="F146" s="11" t="str">
        <f>IF(Introducere_interna!$B65="","",Introducere_interna!$G65)</f>
        <v/>
      </c>
    </row>
    <row r="147" spans="1:6" ht="20.100000000000001" customHeight="1">
      <c r="A147" s="33" t="s">
        <v>23</v>
      </c>
      <c r="B147" s="34"/>
      <c r="C147" s="34"/>
      <c r="D147" s="34"/>
      <c r="E147" s="34"/>
      <c r="F147" s="12">
        <f>SUM(F122:F146)</f>
        <v>0</v>
      </c>
    </row>
    <row r="148" spans="1:6" ht="20.100000000000001" customHeight="1">
      <c r="A148" s="1"/>
      <c r="B148" s="1"/>
      <c r="C148" s="1"/>
      <c r="D148" s="1"/>
      <c r="E148" s="1"/>
      <c r="F148" s="1"/>
    </row>
    <row r="149" spans="1:6" ht="20.100000000000001" customHeight="1">
      <c r="A149" s="32" t="s">
        <v>24</v>
      </c>
      <c r="B149" s="31"/>
      <c r="C149" s="31"/>
      <c r="D149" s="31"/>
      <c r="E149" s="31"/>
      <c r="F149" s="31"/>
    </row>
    <row r="150" spans="1:6" ht="20.100000000000001" customHeight="1">
      <c r="A150" s="8" t="s">
        <v>11</v>
      </c>
      <c r="B150" s="8" t="s">
        <v>12</v>
      </c>
      <c r="C150" s="8" t="s">
        <v>13</v>
      </c>
      <c r="D150" s="8" t="s">
        <v>14</v>
      </c>
      <c r="E150" s="8" t="s">
        <v>15</v>
      </c>
      <c r="F150" s="8" t="s">
        <v>16</v>
      </c>
    </row>
    <row r="151" spans="1:6" ht="20.100000000000001" customHeight="1">
      <c r="A151" s="9" t="str">
        <f>IF(Introducere_interna!$B66="","",1)</f>
        <v/>
      </c>
      <c r="B151" s="10" t="str">
        <f>IF(Introducere_interna!$B66="","",Introducere_interna!$C66)</f>
        <v/>
      </c>
      <c r="C151" s="9" t="str">
        <f>IF(Introducere_interna!$B66="","",Introducere_interna!$D66)</f>
        <v/>
      </c>
      <c r="D151" s="9" t="str">
        <f>IF(Introducere_interna!$B66="","",Introducere_interna!$E66)</f>
        <v/>
      </c>
      <c r="E151" s="11" t="str">
        <f>IF(Introducere_interna!$B66="","",Introducere_interna!$F66)</f>
        <v/>
      </c>
      <c r="F151" s="11" t="str">
        <f>IF(Introducere_interna!$B66="","",Introducere_interna!$G66)</f>
        <v/>
      </c>
    </row>
    <row r="152" spans="1:6" ht="20.100000000000001" customHeight="1">
      <c r="A152" s="9" t="str">
        <f>IF(Introducere_interna!$B67="","",2)</f>
        <v/>
      </c>
      <c r="B152" s="10" t="str">
        <f>IF(Introducere_interna!$B67="","",Introducere_interna!$C67)</f>
        <v/>
      </c>
      <c r="C152" s="9" t="str">
        <f>IF(Introducere_interna!$B67="","",Introducere_interna!$D67)</f>
        <v/>
      </c>
      <c r="D152" s="9" t="str">
        <f>IF(Introducere_interna!$B67="","",Introducere_interna!$E67)</f>
        <v/>
      </c>
      <c r="E152" s="11" t="str">
        <f>IF(Introducere_interna!$B67="","",Introducere_interna!$F67)</f>
        <v/>
      </c>
      <c r="F152" s="11" t="str">
        <f>IF(Introducere_interna!$B67="","",Introducere_interna!$G67)</f>
        <v/>
      </c>
    </row>
    <row r="153" spans="1:6" ht="20.100000000000001" customHeight="1">
      <c r="A153" s="9"/>
      <c r="B153" s="10"/>
      <c r="C153" s="9"/>
      <c r="D153" s="9"/>
      <c r="E153" s="11"/>
      <c r="F153" s="11"/>
    </row>
    <row r="154" spans="1:6" ht="20.100000000000001" customHeight="1">
      <c r="A154" s="9"/>
      <c r="B154" s="10"/>
      <c r="C154" s="9"/>
      <c r="D154" s="9"/>
      <c r="E154" s="11"/>
      <c r="F154" s="11"/>
    </row>
    <row r="155" spans="1:6" ht="20.100000000000001" customHeight="1">
      <c r="A155" s="9"/>
      <c r="B155" s="10"/>
      <c r="C155" s="9"/>
      <c r="D155" s="9"/>
      <c r="E155" s="11"/>
      <c r="F155" s="11"/>
    </row>
    <row r="156" spans="1:6" ht="20.100000000000001" customHeight="1">
      <c r="A156" s="9"/>
      <c r="B156" s="10"/>
      <c r="C156" s="9"/>
      <c r="D156" s="9"/>
      <c r="E156" s="11"/>
      <c r="F156" s="11"/>
    </row>
    <row r="157" spans="1:6" ht="20.100000000000001" customHeight="1">
      <c r="A157" s="9"/>
      <c r="B157" s="10"/>
      <c r="C157" s="9"/>
      <c r="D157" s="9"/>
      <c r="E157" s="11"/>
      <c r="F157" s="11"/>
    </row>
    <row r="158" spans="1:6" ht="20.100000000000001" customHeight="1">
      <c r="A158" s="9"/>
      <c r="B158" s="10"/>
      <c r="C158" s="9"/>
      <c r="D158" s="9"/>
      <c r="E158" s="11"/>
      <c r="F158" s="11"/>
    </row>
    <row r="159" spans="1:6" ht="20.100000000000001" customHeight="1">
      <c r="A159" s="9"/>
      <c r="B159" s="10"/>
      <c r="C159" s="9"/>
      <c r="D159" s="9"/>
      <c r="E159" s="11"/>
      <c r="F159" s="11"/>
    </row>
    <row r="160" spans="1:6" ht="20.100000000000001" customHeight="1">
      <c r="A160" s="9"/>
      <c r="B160" s="10"/>
      <c r="C160" s="9"/>
      <c r="D160" s="9"/>
      <c r="E160" s="11"/>
      <c r="F160" s="11"/>
    </row>
    <row r="161" spans="1:6" ht="20.100000000000001" customHeight="1">
      <c r="A161" s="9"/>
      <c r="B161" s="10"/>
      <c r="C161" s="9"/>
      <c r="D161" s="9"/>
      <c r="E161" s="11"/>
      <c r="F161" s="11"/>
    </row>
    <row r="162" spans="1:6" ht="20.100000000000001" customHeight="1">
      <c r="A162" s="9"/>
      <c r="B162" s="10"/>
      <c r="C162" s="9"/>
      <c r="D162" s="9"/>
      <c r="E162" s="11"/>
      <c r="F162" s="11"/>
    </row>
    <row r="163" spans="1:6" ht="20.100000000000001" customHeight="1">
      <c r="A163" s="9"/>
      <c r="B163" s="10"/>
      <c r="C163" s="9"/>
      <c r="D163" s="9"/>
      <c r="E163" s="11"/>
      <c r="F163" s="11"/>
    </row>
    <row r="164" spans="1:6" ht="20.100000000000001" customHeight="1">
      <c r="A164" s="9"/>
      <c r="B164" s="10"/>
      <c r="C164" s="9"/>
      <c r="D164" s="9"/>
      <c r="E164" s="11"/>
      <c r="F164" s="11"/>
    </row>
    <row r="165" spans="1:6" ht="20.100000000000001" customHeight="1">
      <c r="A165" s="9"/>
      <c r="B165" s="10"/>
      <c r="C165" s="9"/>
      <c r="D165" s="9"/>
      <c r="E165" s="11"/>
      <c r="F165" s="11"/>
    </row>
    <row r="166" spans="1:6" ht="20.100000000000001" customHeight="1">
      <c r="A166" s="9"/>
      <c r="B166" s="10"/>
      <c r="C166" s="9"/>
      <c r="D166" s="9"/>
      <c r="E166" s="11"/>
      <c r="F166" s="11"/>
    </row>
    <row r="167" spans="1:6" ht="20.100000000000001" customHeight="1">
      <c r="A167" s="9"/>
      <c r="B167" s="10"/>
      <c r="C167" s="9"/>
      <c r="D167" s="9"/>
      <c r="E167" s="11"/>
      <c r="F167" s="11"/>
    </row>
    <row r="168" spans="1:6" ht="20.100000000000001" customHeight="1">
      <c r="A168" s="9"/>
      <c r="B168" s="10"/>
      <c r="C168" s="9"/>
      <c r="D168" s="9"/>
      <c r="E168" s="11"/>
      <c r="F168" s="11"/>
    </row>
    <row r="169" spans="1:6" ht="20.100000000000001" customHeight="1">
      <c r="A169" s="9"/>
      <c r="B169" s="10"/>
      <c r="C169" s="9"/>
      <c r="D169" s="9"/>
      <c r="E169" s="11"/>
      <c r="F169" s="11"/>
    </row>
    <row r="170" spans="1:6" ht="20.100000000000001" customHeight="1">
      <c r="A170" s="9"/>
      <c r="B170" s="10"/>
      <c r="C170" s="9"/>
      <c r="D170" s="9"/>
      <c r="E170" s="11"/>
      <c r="F170" s="11"/>
    </row>
    <row r="171" spans="1:6" ht="20.100000000000001" customHeight="1">
      <c r="A171" s="9"/>
      <c r="B171" s="10"/>
      <c r="C171" s="9"/>
      <c r="D171" s="9"/>
      <c r="E171" s="11"/>
      <c r="F171" s="11"/>
    </row>
    <row r="172" spans="1:6" ht="20.100000000000001" customHeight="1">
      <c r="A172" s="9"/>
      <c r="B172" s="10"/>
      <c r="C172" s="9"/>
      <c r="D172" s="9"/>
      <c r="E172" s="11"/>
      <c r="F172" s="11"/>
    </row>
    <row r="173" spans="1:6" ht="20.100000000000001" customHeight="1">
      <c r="A173" s="9" t="str">
        <f>IF(Introducere_interna!$B68="","",3)</f>
        <v/>
      </c>
      <c r="B173" s="10" t="str">
        <f>IF(Introducere_interna!$B68="","",Introducere_interna!$C68)</f>
        <v/>
      </c>
      <c r="C173" s="9" t="str">
        <f>IF(Introducere_interna!$B68="","",Introducere_interna!$D68)</f>
        <v/>
      </c>
      <c r="D173" s="9" t="str">
        <f>IF(Introducere_interna!$B68="","",Introducere_interna!$E68)</f>
        <v/>
      </c>
      <c r="E173" s="11" t="str">
        <f>IF(Introducere_interna!$B68="","",Introducere_interna!$F68)</f>
        <v/>
      </c>
      <c r="F173" s="11" t="str">
        <f>IF(Introducere_interna!$B68="","",Introducere_interna!$G68)</f>
        <v/>
      </c>
    </row>
    <row r="174" spans="1:6" ht="20.100000000000001" customHeight="1">
      <c r="A174" s="9" t="str">
        <f>IF(Introducere_interna!$B69="","",4)</f>
        <v/>
      </c>
      <c r="B174" s="10" t="str">
        <f>IF(Introducere_interna!$B69="","",Introducere_interna!$C69)</f>
        <v/>
      </c>
      <c r="C174" s="9" t="str">
        <f>IF(Introducere_interna!$B69="","",Introducere_interna!$D69)</f>
        <v/>
      </c>
      <c r="D174" s="9" t="str">
        <f>IF(Introducere_interna!$B69="","",Introducere_interna!$E69)</f>
        <v/>
      </c>
      <c r="E174" s="11" t="str">
        <f>IF(Introducere_interna!$B69="","",Introducere_interna!$F69)</f>
        <v/>
      </c>
      <c r="F174" s="11" t="str">
        <f>IF(Introducere_interna!$B69="","",Introducere_interna!$G69)</f>
        <v/>
      </c>
    </row>
    <row r="175" spans="1:6" ht="20.100000000000001" customHeight="1">
      <c r="A175" s="9" t="str">
        <f>IF(Introducere_interna!$B70="","",5)</f>
        <v/>
      </c>
      <c r="B175" s="10" t="str">
        <f>IF(Introducere_interna!$B70="","",Introducere_interna!$C70)</f>
        <v/>
      </c>
      <c r="C175" s="9" t="str">
        <f>IF(Introducere_interna!$B70="","",Introducere_interna!$D70)</f>
        <v/>
      </c>
      <c r="D175" s="9" t="str">
        <f>IF(Introducere_interna!$B70="","",Introducere_interna!$E70)</f>
        <v/>
      </c>
      <c r="E175" s="11" t="str">
        <f>IF(Introducere_interna!$B70="","",Introducere_interna!$F70)</f>
        <v/>
      </c>
      <c r="F175" s="11" t="str">
        <f>IF(Introducere_interna!$B70="","",Introducere_interna!$G70)</f>
        <v/>
      </c>
    </row>
    <row r="176" spans="1:6" ht="20.100000000000001" customHeight="1">
      <c r="A176" s="9" t="str">
        <f>IF(Introducere_interna!$B71="","",6)</f>
        <v/>
      </c>
      <c r="B176" s="10" t="str">
        <f>IF(Introducere_interna!$B71="","",Introducere_interna!$C71)</f>
        <v/>
      </c>
      <c r="C176" s="9" t="str">
        <f>IF(Introducere_interna!$B71="","",Introducere_interna!$D71)</f>
        <v/>
      </c>
      <c r="D176" s="9" t="str">
        <f>IF(Introducere_interna!$B71="","",Introducere_interna!$E71)</f>
        <v/>
      </c>
      <c r="E176" s="11" t="str">
        <f>IF(Introducere_interna!$B71="","",Introducere_interna!$F71)</f>
        <v/>
      </c>
      <c r="F176" s="11" t="str">
        <f>IF(Introducere_interna!$B71="","",Introducere_interna!$G71)</f>
        <v/>
      </c>
    </row>
    <row r="177" spans="1:6" ht="20.100000000000001" customHeight="1">
      <c r="A177" s="9" t="str">
        <f>IF(Introducere_interna!$B72="","",7)</f>
        <v/>
      </c>
      <c r="B177" s="10" t="str">
        <f>IF(Introducere_interna!$B72="","",Introducere_interna!$C72)</f>
        <v/>
      </c>
      <c r="C177" s="9" t="str">
        <f>IF(Introducere_interna!$B72="","",Introducere_interna!$D72)</f>
        <v/>
      </c>
      <c r="D177" s="9" t="str">
        <f>IF(Introducere_interna!$B72="","",Introducere_interna!$E72)</f>
        <v/>
      </c>
      <c r="E177" s="11" t="str">
        <f>IF(Introducere_interna!$B72="","",Introducere_interna!$F72)</f>
        <v/>
      </c>
      <c r="F177" s="11" t="str">
        <f>IF(Introducere_interna!$B72="","",Introducere_interna!$G72)</f>
        <v/>
      </c>
    </row>
    <row r="178" spans="1:6" ht="20.100000000000001" customHeight="1">
      <c r="A178" s="9" t="str">
        <f>IF(Introducere_interna!$B73="","",8)</f>
        <v/>
      </c>
      <c r="B178" s="10" t="str">
        <f>IF(Introducere_interna!$B73="","",Introducere_interna!$C73)</f>
        <v/>
      </c>
      <c r="C178" s="9" t="str">
        <f>IF(Introducere_interna!$B73="","",Introducere_interna!$D73)</f>
        <v/>
      </c>
      <c r="D178" s="9" t="str">
        <f>IF(Introducere_interna!$B73="","",Introducere_interna!$E73)</f>
        <v/>
      </c>
      <c r="E178" s="11" t="str">
        <f>IF(Introducere_interna!$B73="","",Introducere_interna!$F73)</f>
        <v/>
      </c>
      <c r="F178" s="11" t="str">
        <f>IF(Introducere_interna!$B73="","",Introducere_interna!$G73)</f>
        <v/>
      </c>
    </row>
    <row r="179" spans="1:6" ht="20.100000000000001" customHeight="1">
      <c r="A179" s="9" t="str">
        <f>IF(Introducere_interna!$B74="","",9)</f>
        <v/>
      </c>
      <c r="B179" s="10" t="str">
        <f>IF(Introducere_interna!$B74="","",Introducere_interna!$C74)</f>
        <v/>
      </c>
      <c r="C179" s="9" t="str">
        <f>IF(Introducere_interna!$B74="","",Introducere_interna!$D74)</f>
        <v/>
      </c>
      <c r="D179" s="9" t="str">
        <f>IF(Introducere_interna!$B74="","",Introducere_interna!$E74)</f>
        <v/>
      </c>
      <c r="E179" s="11" t="str">
        <f>IF(Introducere_interna!$B74="","",Introducere_interna!$F74)</f>
        <v/>
      </c>
      <c r="F179" s="11" t="str">
        <f>IF(Introducere_interna!$B74="","",Introducere_interna!$G74)</f>
        <v/>
      </c>
    </row>
    <row r="180" spans="1:6" ht="20.100000000000001" customHeight="1">
      <c r="A180" s="9" t="str">
        <f>IF(Introducere_interna!$B75="","",10)</f>
        <v/>
      </c>
      <c r="B180" s="10" t="str">
        <f>IF(Introducere_interna!$B75="","",Introducere_interna!$C75)</f>
        <v/>
      </c>
      <c r="C180" s="9" t="str">
        <f>IF(Introducere_interna!$B75="","",Introducere_interna!$D75)</f>
        <v/>
      </c>
      <c r="D180" s="9" t="str">
        <f>IF(Introducere_interna!$B75="","",Introducere_interna!$E75)</f>
        <v/>
      </c>
      <c r="E180" s="11" t="str">
        <f>IF(Introducere_interna!$B75="","",Introducere_interna!$F75)</f>
        <v/>
      </c>
      <c r="F180" s="11" t="str">
        <f>IF(Introducere_interna!$B75="","",Introducere_interna!$G75)</f>
        <v/>
      </c>
    </row>
    <row r="181" spans="1:6" ht="20.100000000000001" customHeight="1">
      <c r="A181" s="9" t="str">
        <f>IF(Introducere_interna!$B76="","",11)</f>
        <v/>
      </c>
      <c r="B181" s="10" t="str">
        <f>IF(Introducere_interna!$B76="","",Introducere_interna!$C76)</f>
        <v/>
      </c>
      <c r="C181" s="9" t="str">
        <f>IF(Introducere_interna!$B76="","",Introducere_interna!$D76)</f>
        <v/>
      </c>
      <c r="D181" s="9" t="str">
        <f>IF(Introducere_interna!$B76="","",Introducere_interna!$E76)</f>
        <v/>
      </c>
      <c r="E181" s="11" t="str">
        <f>IF(Introducere_interna!$B76="","",Introducere_interna!$F76)</f>
        <v/>
      </c>
      <c r="F181" s="11" t="str">
        <f>IF(Introducere_interna!$B76="","",Introducere_interna!$G76)</f>
        <v/>
      </c>
    </row>
    <row r="182" spans="1:6" ht="20.100000000000001" customHeight="1">
      <c r="A182" s="9" t="str">
        <f>IF(Introducere_interna!$B77="","",12)</f>
        <v/>
      </c>
      <c r="B182" s="10" t="str">
        <f>IF(Introducere_interna!$B77="","",Introducere_interna!$C77)</f>
        <v/>
      </c>
      <c r="C182" s="9" t="str">
        <f>IF(Introducere_interna!$B77="","",Introducere_interna!$D77)</f>
        <v/>
      </c>
      <c r="D182" s="9" t="str">
        <f>IF(Introducere_interna!$B77="","",Introducere_interna!$E77)</f>
        <v/>
      </c>
      <c r="E182" s="11" t="str">
        <f>IF(Introducere_interna!$B77="","",Introducere_interna!$F77)</f>
        <v/>
      </c>
      <c r="F182" s="11" t="str">
        <f>IF(Introducere_interna!$B77="","",Introducere_interna!$G77)</f>
        <v/>
      </c>
    </row>
    <row r="183" spans="1:6" ht="20.100000000000001" customHeight="1">
      <c r="A183" s="9" t="str">
        <f>IF(Introducere_interna!$B78="","",13)</f>
        <v/>
      </c>
      <c r="B183" s="10" t="str">
        <f>IF(Introducere_interna!$B78="","",Introducere_interna!$C78)</f>
        <v/>
      </c>
      <c r="C183" s="9" t="str">
        <f>IF(Introducere_interna!$B78="","",Introducere_interna!$D78)</f>
        <v/>
      </c>
      <c r="D183" s="9" t="str">
        <f>IF(Introducere_interna!$B78="","",Introducere_interna!$E78)</f>
        <v/>
      </c>
      <c r="E183" s="11" t="str">
        <f>IF(Introducere_interna!$B78="","",Introducere_interna!$F78)</f>
        <v/>
      </c>
      <c r="F183" s="11" t="str">
        <f>IF(Introducere_interna!$B78="","",Introducere_interna!$G78)</f>
        <v/>
      </c>
    </row>
    <row r="184" spans="1:6" ht="20.100000000000001" customHeight="1">
      <c r="A184" s="9" t="str">
        <f>IF(Introducere_interna!$B79="","",14)</f>
        <v/>
      </c>
      <c r="B184" s="10" t="str">
        <f>IF(Introducere_interna!$B79="","",Introducere_interna!$C79)</f>
        <v/>
      </c>
      <c r="C184" s="9" t="str">
        <f>IF(Introducere_interna!$B79="","",Introducere_interna!$D79)</f>
        <v/>
      </c>
      <c r="D184" s="9" t="str">
        <f>IF(Introducere_interna!$B79="","",Introducere_interna!$E79)</f>
        <v/>
      </c>
      <c r="E184" s="11" t="str">
        <f>IF(Introducere_interna!$B79="","",Introducere_interna!$F79)</f>
        <v/>
      </c>
      <c r="F184" s="11" t="str">
        <f>IF(Introducere_interna!$B79="","",Introducere_interna!$G79)</f>
        <v/>
      </c>
    </row>
    <row r="185" spans="1:6" ht="20.100000000000001" customHeight="1">
      <c r="A185" s="9" t="str">
        <f>IF(Introducere_interna!$B80="","",15)</f>
        <v/>
      </c>
      <c r="B185" s="10" t="str">
        <f>IF(Introducere_interna!$B80="","",Introducere_interna!$C80)</f>
        <v/>
      </c>
      <c r="C185" s="9" t="str">
        <f>IF(Introducere_interna!$B80="","",Introducere_interna!$D80)</f>
        <v/>
      </c>
      <c r="D185" s="9" t="str">
        <f>IF(Introducere_interna!$B80="","",Introducere_interna!$E80)</f>
        <v/>
      </c>
      <c r="E185" s="11" t="str">
        <f>IF(Introducere_interna!$B80="","",Introducere_interna!$F80)</f>
        <v/>
      </c>
      <c r="F185" s="11" t="str">
        <f>IF(Introducere_interna!$B80="","",Introducere_interna!$G80)</f>
        <v/>
      </c>
    </row>
    <row r="186" spans="1:6" ht="20.100000000000001" customHeight="1">
      <c r="A186" s="33" t="s">
        <v>25</v>
      </c>
      <c r="B186" s="34"/>
      <c r="C186" s="34"/>
      <c r="D186" s="34"/>
      <c r="E186" s="34"/>
      <c r="F186" s="12">
        <f>SUM(F151:F185)</f>
        <v>0</v>
      </c>
    </row>
    <row r="187" spans="1:6" ht="20.100000000000001" customHeight="1">
      <c r="A187" s="1"/>
      <c r="B187" s="1"/>
      <c r="C187" s="1"/>
      <c r="D187" s="1"/>
      <c r="E187" s="1"/>
      <c r="F187" s="1"/>
    </row>
    <row r="188" spans="1:6" ht="20.100000000000001" customHeight="1">
      <c r="A188" s="32" t="s">
        <v>26</v>
      </c>
      <c r="B188" s="31"/>
      <c r="C188" s="31"/>
      <c r="D188" s="31"/>
      <c r="E188" s="31"/>
      <c r="F188" s="31"/>
    </row>
    <row r="189" spans="1:6" ht="20.100000000000001" customHeight="1">
      <c r="A189" s="8" t="s">
        <v>11</v>
      </c>
      <c r="B189" s="8" t="s">
        <v>12</v>
      </c>
      <c r="C189" s="8" t="s">
        <v>13</v>
      </c>
      <c r="D189" s="8" t="s">
        <v>14</v>
      </c>
      <c r="E189" s="8" t="s">
        <v>15</v>
      </c>
      <c r="F189" s="8" t="s">
        <v>16</v>
      </c>
    </row>
    <row r="190" spans="1:6" ht="20.100000000000001" customHeight="1">
      <c r="A190" s="9" t="str">
        <f>IF(Introducere_interna!$B81="","",1)</f>
        <v/>
      </c>
      <c r="B190" s="10" t="str">
        <f>IF(Introducere_interna!$B81="","",Introducere_interna!$C81)</f>
        <v/>
      </c>
      <c r="C190" s="9" t="str">
        <f>IF(Introducere_interna!$B81="","",Introducere_interna!$D81)</f>
        <v/>
      </c>
      <c r="D190" s="9" t="str">
        <f>IF(Introducere_interna!$B81="","",Introducere_interna!$E81)</f>
        <v/>
      </c>
      <c r="E190" s="11" t="str">
        <f>IF(Introducere_interna!$B81="","",Introducere_interna!$F81)</f>
        <v/>
      </c>
      <c r="F190" s="11" t="str">
        <f>IF(Introducere_interna!$B81="","",Introducere_interna!$G81)</f>
        <v/>
      </c>
    </row>
    <row r="191" spans="1:6" ht="20.100000000000001" customHeight="1">
      <c r="A191" s="9" t="str">
        <f>IF(Introducere_interna!$B82="","",2)</f>
        <v/>
      </c>
      <c r="B191" s="10" t="str">
        <f>IF(Introducere_interna!$B82="","",Introducere_interna!$C82)</f>
        <v/>
      </c>
      <c r="C191" s="9" t="str">
        <f>IF(Introducere_interna!$B82="","",Introducere_interna!$D82)</f>
        <v/>
      </c>
      <c r="D191" s="9" t="str">
        <f>IF(Introducere_interna!$B82="","",Introducere_interna!$E82)</f>
        <v/>
      </c>
      <c r="E191" s="11" t="str">
        <f>IF(Introducere_interna!$B82="","",Introducere_interna!$F82)</f>
        <v/>
      </c>
      <c r="F191" s="11" t="str">
        <f>IF(Introducere_interna!$B82="","",Introducere_interna!$G82)</f>
        <v/>
      </c>
    </row>
    <row r="192" spans="1:6" ht="20.100000000000001" customHeight="1">
      <c r="A192" s="9" t="str">
        <f>IF(Introducere_interna!$B83="","",3)</f>
        <v/>
      </c>
      <c r="B192" s="10" t="str">
        <f>IF(Introducere_interna!$B83="","",Introducere_interna!$C83)</f>
        <v/>
      </c>
      <c r="C192" s="9" t="str">
        <f>IF(Introducere_interna!$B83="","",Introducere_interna!$D83)</f>
        <v/>
      </c>
      <c r="D192" s="9" t="str">
        <f>IF(Introducere_interna!$B83="","",Introducere_interna!$E83)</f>
        <v/>
      </c>
      <c r="E192" s="11" t="str">
        <f>IF(Introducere_interna!$B83="","",Introducere_interna!$F83)</f>
        <v/>
      </c>
      <c r="F192" s="11" t="str">
        <f>IF(Introducere_interna!$B83="","",Introducere_interna!$G83)</f>
        <v/>
      </c>
    </row>
    <row r="193" spans="1:6" ht="20.100000000000001" customHeight="1">
      <c r="A193" s="9" t="str">
        <f>IF(Introducere_interna!$B84="","",4)</f>
        <v/>
      </c>
      <c r="B193" s="10" t="str">
        <f>IF(Introducere_interna!$B84="","",Introducere_interna!$C84)</f>
        <v/>
      </c>
      <c r="C193" s="9" t="str">
        <f>IF(Introducere_interna!$B84="","",Introducere_interna!$D84)</f>
        <v/>
      </c>
      <c r="D193" s="9" t="str">
        <f>IF(Introducere_interna!$B84="","",Introducere_interna!$E84)</f>
        <v/>
      </c>
      <c r="E193" s="11" t="str">
        <f>IF(Introducere_interna!$B84="","",Introducere_interna!$F84)</f>
        <v/>
      </c>
      <c r="F193" s="11" t="str">
        <f>IF(Introducere_interna!$B84="","",Introducere_interna!$G84)</f>
        <v/>
      </c>
    </row>
    <row r="194" spans="1:6" ht="20.100000000000001" customHeight="1">
      <c r="A194" s="9" t="str">
        <f>IF(Introducere_interna!$B85="","",5)</f>
        <v/>
      </c>
      <c r="B194" s="10" t="str">
        <f>IF(Introducere_interna!$B85="","",Introducere_interna!$C85)</f>
        <v/>
      </c>
      <c r="C194" s="9" t="str">
        <f>IF(Introducere_interna!$B85="","",Introducere_interna!$D85)</f>
        <v/>
      </c>
      <c r="D194" s="9" t="str">
        <f>IF(Introducere_interna!$B85="","",Introducere_interna!$E85)</f>
        <v/>
      </c>
      <c r="E194" s="11" t="str">
        <f>IF(Introducere_interna!$B85="","",Introducere_interna!$F85)</f>
        <v/>
      </c>
      <c r="F194" s="11" t="str">
        <f>IF(Introducere_interna!$B85="","",Introducere_interna!$G85)</f>
        <v/>
      </c>
    </row>
    <row r="195" spans="1:6" ht="20.100000000000001" customHeight="1">
      <c r="A195" s="9" t="str">
        <f>IF(Introducere_interna!$B86="","",6)</f>
        <v/>
      </c>
      <c r="B195" s="10" t="str">
        <f>IF(Introducere_interna!$B86="","",Introducere_interna!$C86)</f>
        <v/>
      </c>
      <c r="C195" s="9" t="str">
        <f>IF(Introducere_interna!$B86="","",Introducere_interna!$D86)</f>
        <v/>
      </c>
      <c r="D195" s="9" t="str">
        <f>IF(Introducere_interna!$B86="","",Introducere_interna!$E86)</f>
        <v/>
      </c>
      <c r="E195" s="11" t="str">
        <f>IF(Introducere_interna!$B86="","",Introducere_interna!$F86)</f>
        <v/>
      </c>
      <c r="F195" s="11" t="str">
        <f>IF(Introducere_interna!$B86="","",Introducere_interna!$G86)</f>
        <v/>
      </c>
    </row>
    <row r="196" spans="1:6" ht="20.100000000000001" customHeight="1">
      <c r="A196" s="9" t="str">
        <f>IF(Introducere_interna!$B87="","",7)</f>
        <v/>
      </c>
      <c r="B196" s="10" t="str">
        <f>IF(Introducere_interna!$B87="","",Introducere_interna!$C87)</f>
        <v/>
      </c>
      <c r="C196" s="9" t="str">
        <f>IF(Introducere_interna!$B87="","",Introducere_interna!$D87)</f>
        <v/>
      </c>
      <c r="D196" s="9" t="str">
        <f>IF(Introducere_interna!$B87="","",Introducere_interna!$E87)</f>
        <v/>
      </c>
      <c r="E196" s="11" t="str">
        <f>IF(Introducere_interna!$B87="","",Introducere_interna!$F87)</f>
        <v/>
      </c>
      <c r="F196" s="11" t="str">
        <f>IF(Introducere_interna!$B87="","",Introducere_interna!$G87)</f>
        <v/>
      </c>
    </row>
    <row r="197" spans="1:6" ht="20.100000000000001" customHeight="1">
      <c r="A197" s="9" t="str">
        <f>IF(Introducere_interna!$B88="","",8)</f>
        <v/>
      </c>
      <c r="B197" s="10" t="str">
        <f>IF(Introducere_interna!$B88="","",Introducere_interna!$C88)</f>
        <v/>
      </c>
      <c r="C197" s="9" t="str">
        <f>IF(Introducere_interna!$B88="","",Introducere_interna!$D88)</f>
        <v/>
      </c>
      <c r="D197" s="9" t="str">
        <f>IF(Introducere_interna!$B88="","",Introducere_interna!$E88)</f>
        <v/>
      </c>
      <c r="E197" s="11" t="str">
        <f>IF(Introducere_interna!$B88="","",Introducere_interna!$F88)</f>
        <v/>
      </c>
      <c r="F197" s="11" t="str">
        <f>IF(Introducere_interna!$B88="","",Introducere_interna!$G88)</f>
        <v/>
      </c>
    </row>
    <row r="198" spans="1:6" ht="20.100000000000001" customHeight="1">
      <c r="A198" s="9" t="str">
        <f>IF(Introducere_interna!$B89="","",9)</f>
        <v/>
      </c>
      <c r="B198" s="10" t="str">
        <f>IF(Introducere_interna!$B89="","",Introducere_interna!$C89)</f>
        <v/>
      </c>
      <c r="C198" s="9" t="str">
        <f>IF(Introducere_interna!$B89="","",Introducere_interna!$D89)</f>
        <v/>
      </c>
      <c r="D198" s="9" t="str">
        <f>IF(Introducere_interna!$B89="","",Introducere_interna!$E89)</f>
        <v/>
      </c>
      <c r="E198" s="11" t="str">
        <f>IF(Introducere_interna!$B89="","",Introducere_interna!$F89)</f>
        <v/>
      </c>
      <c r="F198" s="11" t="str">
        <f>IF(Introducere_interna!$B89="","",Introducere_interna!$G89)</f>
        <v/>
      </c>
    </row>
    <row r="199" spans="1:6" ht="20.100000000000001" customHeight="1">
      <c r="A199" s="9" t="str">
        <f>IF(Introducere_interna!$B90="","",10)</f>
        <v/>
      </c>
      <c r="B199" s="10" t="str">
        <f>IF(Introducere_interna!$B90="","",Introducere_interna!$C90)</f>
        <v/>
      </c>
      <c r="C199" s="9" t="str">
        <f>IF(Introducere_interna!$B90="","",Introducere_interna!$D90)</f>
        <v/>
      </c>
      <c r="D199" s="9" t="str">
        <f>IF(Introducere_interna!$B90="","",Introducere_interna!$E90)</f>
        <v/>
      </c>
      <c r="E199" s="11" t="str">
        <f>IF(Introducere_interna!$B90="","",Introducere_interna!$F90)</f>
        <v/>
      </c>
      <c r="F199" s="11" t="str">
        <f>IF(Introducere_interna!$B90="","",Introducere_interna!$G90)</f>
        <v/>
      </c>
    </row>
    <row r="200" spans="1:6" ht="20.100000000000001" customHeight="1">
      <c r="A200" s="9" t="str">
        <f>IF(Introducere_interna!$B91="","",11)</f>
        <v/>
      </c>
      <c r="B200" s="10" t="str">
        <f>IF(Introducere_interna!$B91="","",Introducere_interna!$C91)</f>
        <v/>
      </c>
      <c r="C200" s="9" t="str">
        <f>IF(Introducere_interna!$B91="","",Introducere_interna!$D91)</f>
        <v/>
      </c>
      <c r="D200" s="9" t="str">
        <f>IF(Introducere_interna!$B91="","",Introducere_interna!$E91)</f>
        <v/>
      </c>
      <c r="E200" s="11" t="str">
        <f>IF(Introducere_interna!$B91="","",Introducere_interna!$F91)</f>
        <v/>
      </c>
      <c r="F200" s="11" t="str">
        <f>IF(Introducere_interna!$B91="","",Introducere_interna!$G91)</f>
        <v/>
      </c>
    </row>
    <row r="201" spans="1:6" ht="20.100000000000001" customHeight="1">
      <c r="A201" s="9" t="str">
        <f>IF(Introducere_interna!$B92="","",12)</f>
        <v/>
      </c>
      <c r="B201" s="10" t="str">
        <f>IF(Introducere_interna!$B92="","",Introducere_interna!$C92)</f>
        <v/>
      </c>
      <c r="C201" s="9" t="str">
        <f>IF(Introducere_interna!$B92="","",Introducere_interna!$D92)</f>
        <v/>
      </c>
      <c r="D201" s="9" t="str">
        <f>IF(Introducere_interna!$B92="","",Introducere_interna!$E92)</f>
        <v/>
      </c>
      <c r="E201" s="11" t="str">
        <f>IF(Introducere_interna!$B92="","",Introducere_interna!$F92)</f>
        <v/>
      </c>
      <c r="F201" s="11" t="str">
        <f>IF(Introducere_interna!$B92="","",Introducere_interna!$G92)</f>
        <v/>
      </c>
    </row>
    <row r="202" spans="1:6" ht="20.100000000000001" customHeight="1">
      <c r="A202" s="9" t="str">
        <f>IF(Introducere_interna!$B93="","",13)</f>
        <v/>
      </c>
      <c r="B202" s="10" t="str">
        <f>IF(Introducere_interna!$B93="","",Introducere_interna!$C93)</f>
        <v/>
      </c>
      <c r="C202" s="9" t="str">
        <f>IF(Introducere_interna!$B93="","",Introducere_interna!$D93)</f>
        <v/>
      </c>
      <c r="D202" s="9" t="str">
        <f>IF(Introducere_interna!$B93="","",Introducere_interna!$E93)</f>
        <v/>
      </c>
      <c r="E202" s="11" t="str">
        <f>IF(Introducere_interna!$B93="","",Introducere_interna!$F93)</f>
        <v/>
      </c>
      <c r="F202" s="11" t="str">
        <f>IF(Introducere_interna!$B93="","",Introducere_interna!$G93)</f>
        <v/>
      </c>
    </row>
    <row r="203" spans="1:6" ht="20.100000000000001" customHeight="1">
      <c r="A203" s="9" t="str">
        <f>IF(Introducere_interna!$B94="","",14)</f>
        <v/>
      </c>
      <c r="B203" s="10" t="str">
        <f>IF(Introducere_interna!$B94="","",Introducere_interna!$C94)</f>
        <v/>
      </c>
      <c r="C203" s="9" t="str">
        <f>IF(Introducere_interna!$B94="","",Introducere_interna!$D94)</f>
        <v/>
      </c>
      <c r="D203" s="9" t="str">
        <f>IF(Introducere_interna!$B94="","",Introducere_interna!$E94)</f>
        <v/>
      </c>
      <c r="E203" s="11" t="str">
        <f>IF(Introducere_interna!$B94="","",Introducere_interna!$F94)</f>
        <v/>
      </c>
      <c r="F203" s="11" t="str">
        <f>IF(Introducere_interna!$B94="","",Introducere_interna!$G94)</f>
        <v/>
      </c>
    </row>
    <row r="204" spans="1:6" ht="20.100000000000001" customHeight="1">
      <c r="A204" s="9" t="str">
        <f>IF(Introducere_interna!$B95="","",15)</f>
        <v/>
      </c>
      <c r="B204" s="10" t="str">
        <f>IF(Introducere_interna!$B95="","",Introducere_interna!$C95)</f>
        <v/>
      </c>
      <c r="C204" s="9" t="str">
        <f>IF(Introducere_interna!$B95="","",Introducere_interna!$D95)</f>
        <v/>
      </c>
      <c r="D204" s="9" t="str">
        <f>IF(Introducere_interna!$B95="","",Introducere_interna!$E95)</f>
        <v/>
      </c>
      <c r="E204" s="11" t="str">
        <f>IF(Introducere_interna!$B95="","",Introducere_interna!$F95)</f>
        <v/>
      </c>
      <c r="F204" s="11" t="str">
        <f>IF(Introducere_interna!$B95="","",Introducere_interna!$G95)</f>
        <v/>
      </c>
    </row>
    <row r="205" spans="1:6" ht="20.100000000000001" customHeight="1">
      <c r="A205" s="33" t="s">
        <v>27</v>
      </c>
      <c r="B205" s="34"/>
      <c r="C205" s="34"/>
      <c r="D205" s="34"/>
      <c r="E205" s="34"/>
      <c r="F205" s="12">
        <f>SUM(F190:F204)</f>
        <v>0</v>
      </c>
    </row>
    <row r="206" spans="1:6" ht="20.100000000000001" customHeight="1">
      <c r="A206" s="1"/>
      <c r="B206" s="1"/>
      <c r="C206" s="1"/>
      <c r="D206" s="1"/>
      <c r="E206" s="1"/>
      <c r="F206" s="1"/>
    </row>
    <row r="207" spans="1:6" ht="20.100000000000001" customHeight="1">
      <c r="A207" s="37" t="s">
        <v>28</v>
      </c>
      <c r="B207" s="31"/>
      <c r="C207" s="31"/>
      <c r="D207" s="31"/>
      <c r="E207" s="31"/>
      <c r="F207" s="13">
        <f>SUM(F51,F88,F118,F147,F186,F205)</f>
        <v>0</v>
      </c>
    </row>
    <row r="208" spans="1:6" ht="20.100000000000001" customHeight="1">
      <c r="A208" s="37" t="s">
        <v>29</v>
      </c>
      <c r="B208" s="31"/>
      <c r="C208" s="31"/>
      <c r="D208" s="31"/>
      <c r="E208" s="31"/>
      <c r="F208" s="13">
        <f>F207*Setari!$B$2</f>
        <v>0</v>
      </c>
    </row>
    <row r="209" spans="1:6" ht="20.100000000000001" customHeight="1">
      <c r="A209" s="35" t="s">
        <v>30</v>
      </c>
      <c r="B209" s="36"/>
      <c r="C209" s="36"/>
      <c r="D209" s="36"/>
      <c r="E209" s="36"/>
      <c r="F209" s="14">
        <f>F207+F208</f>
        <v>0</v>
      </c>
    </row>
    <row r="210" spans="1:6" ht="20.100000000000001" customHeight="1">
      <c r="A210" s="1"/>
      <c r="B210" s="1"/>
      <c r="C210" s="1"/>
      <c r="D210" s="1"/>
      <c r="E210" s="1"/>
      <c r="F210" s="1"/>
    </row>
    <row r="211" spans="1:6" ht="20.100000000000001" customHeight="1">
      <c r="A211" s="1"/>
      <c r="B211" s="1"/>
      <c r="C211" s="1"/>
      <c r="D211" s="1"/>
      <c r="E211" s="1"/>
      <c r="F211" s="1"/>
    </row>
    <row r="212" spans="1:6" ht="20.100000000000001" customHeight="1">
      <c r="A212" s="38" t="s">
        <v>31</v>
      </c>
      <c r="B212" s="31"/>
      <c r="C212" s="31"/>
      <c r="D212" s="31"/>
      <c r="E212" s="31"/>
      <c r="F212" s="31"/>
    </row>
    <row r="213" spans="1:6" ht="20.100000000000001" customHeight="1">
      <c r="A213" s="15" t="s">
        <v>32</v>
      </c>
      <c r="B213" s="30" t="s">
        <v>33</v>
      </c>
      <c r="C213" s="31"/>
      <c r="D213" s="31"/>
      <c r="E213" s="31"/>
      <c r="F213" s="31"/>
    </row>
    <row r="214" spans="1:6" ht="20.100000000000001" customHeight="1">
      <c r="A214" s="15" t="s">
        <v>34</v>
      </c>
      <c r="B214" s="30" t="s">
        <v>35</v>
      </c>
      <c r="C214" s="31"/>
      <c r="D214" s="31"/>
      <c r="E214" s="31"/>
      <c r="F214" s="31"/>
    </row>
    <row r="215" spans="1:6" ht="20.100000000000001" customHeight="1">
      <c r="A215" s="15" t="s">
        <v>36</v>
      </c>
      <c r="B215" s="30" t="s">
        <v>37</v>
      </c>
      <c r="C215" s="31"/>
      <c r="D215" s="31"/>
      <c r="E215" s="31"/>
      <c r="F215" s="31"/>
    </row>
    <row r="216" spans="1:6" ht="20.100000000000001" customHeight="1">
      <c r="A216" s="15" t="s">
        <v>38</v>
      </c>
      <c r="B216" s="30" t="s">
        <v>39</v>
      </c>
      <c r="C216" s="31"/>
      <c r="D216" s="31"/>
      <c r="E216" s="31"/>
      <c r="F216" s="31"/>
    </row>
    <row r="217" spans="1:6" ht="20.100000000000001" customHeight="1">
      <c r="A217" s="1"/>
      <c r="B217" s="1"/>
      <c r="C217" s="1"/>
      <c r="D217" s="1"/>
      <c r="E217" s="1"/>
      <c r="F217" s="1"/>
    </row>
  </sheetData>
  <mergeCells count="22">
    <mergeCell ref="A1:F1"/>
    <mergeCell ref="A205:E205"/>
    <mergeCell ref="A186:E186"/>
    <mergeCell ref="A2:F2"/>
    <mergeCell ref="B214:F214"/>
    <mergeCell ref="A90:F90"/>
    <mergeCell ref="A149:F149"/>
    <mergeCell ref="B216:F216"/>
    <mergeCell ref="A53:F53"/>
    <mergeCell ref="A51:E51"/>
    <mergeCell ref="A9:F9"/>
    <mergeCell ref="A209:E209"/>
    <mergeCell ref="A88:E88"/>
    <mergeCell ref="A207:E207"/>
    <mergeCell ref="B215:F215"/>
    <mergeCell ref="A188:F188"/>
    <mergeCell ref="A208:E208"/>
    <mergeCell ref="A147:E147"/>
    <mergeCell ref="B213:F213"/>
    <mergeCell ref="A212:F212"/>
    <mergeCell ref="A120:F120"/>
    <mergeCell ref="A118:E118"/>
  </mergeCells>
  <pageMargins left="0.3" right="0.3" top="0.5" bottom="0.5" header="0.5" footer="0.5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5"/>
  <sheetViews>
    <sheetView showGridLines="0" workbookViewId="0">
      <pane ySplit="5" topLeftCell="A12" activePane="bottomLeft" state="frozen"/>
      <selection pane="bottomLeft" activeCell="D15" sqref="D15"/>
    </sheetView>
  </sheetViews>
  <sheetFormatPr defaultRowHeight="15"/>
  <cols>
    <col min="1" max="1" width="28" customWidth="1"/>
    <col min="2" max="2" width="20" customWidth="1"/>
    <col min="3" max="3" width="48" customWidth="1"/>
    <col min="4" max="4" width="8" customWidth="1"/>
    <col min="5" max="5" width="12" customWidth="1"/>
    <col min="6" max="7" width="14" customWidth="1"/>
    <col min="8" max="8" width="18" customWidth="1"/>
  </cols>
  <sheetData>
    <row r="1" spans="1:8" ht="27.95" customHeight="1">
      <c r="A1" s="39" t="s">
        <v>40</v>
      </c>
      <c r="B1" s="41"/>
      <c r="C1" s="41"/>
      <c r="D1" s="41"/>
      <c r="E1" s="41"/>
      <c r="F1" s="41"/>
      <c r="G1" s="41"/>
      <c r="H1" s="41"/>
    </row>
    <row r="3" spans="1:8">
      <c r="A3" s="15" t="s">
        <v>41</v>
      </c>
      <c r="B3" s="16" t="s">
        <v>42</v>
      </c>
    </row>
    <row r="5" spans="1:8">
      <c r="A5" s="8" t="s">
        <v>43</v>
      </c>
      <c r="B5" s="8" t="s">
        <v>44</v>
      </c>
      <c r="C5" s="8" t="s">
        <v>12</v>
      </c>
      <c r="D5" s="8" t="s">
        <v>45</v>
      </c>
      <c r="E5" s="8" t="s">
        <v>14</v>
      </c>
      <c r="F5" s="8" t="s">
        <v>15</v>
      </c>
      <c r="G5" s="8" t="s">
        <v>16</v>
      </c>
      <c r="H5" s="8" t="s">
        <v>46</v>
      </c>
    </row>
    <row r="6" spans="1:8">
      <c r="A6" s="17" t="s">
        <v>10</v>
      </c>
      <c r="B6" s="18" t="s">
        <v>47</v>
      </c>
      <c r="C6" s="10" t="str">
        <f>IFERROR(VLOOKUP($B6,Baza_preturi!$A:$K,3,FALSE),"")</f>
        <v>Sprinkler incendiu CBSO-PVo 0.08 R1/2 P57.B3</v>
      </c>
      <c r="D6" s="19" t="str">
        <f>IFERROR(VLOOKUP($B6,Baza_preturi!$A:$K,6,FALSE),"")</f>
        <v>buc</v>
      </c>
      <c r="E6" s="18">
        <v>850</v>
      </c>
      <c r="F6" s="20">
        <f>IFERROR(VLOOKUP($B6,Baza_preturi!$A:$K,9,FALSE),"")</f>
        <v>156.11250000000001</v>
      </c>
      <c r="G6" s="20">
        <f t="shared" ref="G6:G37" si="0">IF(OR($E6="", $F6=""),"", $E6*$F6)</f>
        <v>132695.625</v>
      </c>
      <c r="H6" s="19" t="str">
        <f>IF($B6="","",IFERROR(IF(VLOOKUP($B6,Baza_preturi!$A:$A,1,FALSE)=$B6,"OK","VERIFICĂ"),"COD NU EXISTĂ"))</f>
        <v>OK</v>
      </c>
    </row>
    <row r="7" spans="1:8">
      <c r="A7" s="17" t="s">
        <v>10</v>
      </c>
      <c r="B7" s="18" t="s">
        <v>77</v>
      </c>
      <c r="C7" s="10" t="str">
        <f>IFERROR(VLOOKUP($B7,Baza_preturi!$A:$K,3,FALSE),"")</f>
        <v/>
      </c>
      <c r="D7" s="19" t="str">
        <f>IFERROR(VLOOKUP($B7,Baza_preturi!$A:$K,6,FALSE),"")</f>
        <v/>
      </c>
      <c r="E7" s="18">
        <v>120</v>
      </c>
      <c r="F7" s="20" t="str">
        <f>IFERROR(VLOOKUP($B7,Baza_preturi!$A:$K,9,FALSE),"")</f>
        <v/>
      </c>
      <c r="G7" s="20" t="str">
        <f t="shared" si="0"/>
        <v/>
      </c>
      <c r="H7" s="19" t="str">
        <f>IF($B7="","",IFERROR(IF(VLOOKUP($B7,Baza_preturi!$A:$A,1,FALSE)=$B7,"OK","VERIFICĂ"),"COD NU EXISTĂ"))</f>
        <v>COD NU EXISTĂ</v>
      </c>
    </row>
    <row r="8" spans="1:8">
      <c r="A8" s="17" t="s">
        <v>10</v>
      </c>
      <c r="B8" s="18" t="s">
        <v>372</v>
      </c>
      <c r="C8" s="10" t="str">
        <f>IFERROR(VLOOKUP($B8,Baza_preturi!$A:$K,3,FALSE),"")</f>
        <v>Țeavă zincată DN15*2.2mm</v>
      </c>
      <c r="D8" s="19" t="str">
        <f>IFERROR(VLOOKUP($B8,Baza_preturi!$A:$K,6,FALSE),"")</f>
        <v>m</v>
      </c>
      <c r="E8" s="18">
        <v>500</v>
      </c>
      <c r="F8" s="20" t="str">
        <f>IFERROR(VLOOKUP($B8,Baza_preturi!$A:$K,9,FALSE),"")</f>
        <v/>
      </c>
      <c r="G8" s="20" t="str">
        <f t="shared" si="0"/>
        <v/>
      </c>
      <c r="H8" s="19" t="str">
        <f>IF($B8="","",IFERROR(IF(VLOOKUP($B8,Baza_preturi!$A:$A,1,FALSE)=$B8,"OK","VERIFICĂ"),"COD NU EXISTĂ"))</f>
        <v>OK</v>
      </c>
    </row>
    <row r="9" spans="1:8">
      <c r="A9" s="17" t="s">
        <v>10</v>
      </c>
      <c r="B9" s="18" t="s">
        <v>373</v>
      </c>
      <c r="C9" s="10" t="str">
        <f>IFERROR(VLOOKUP($B9,Baza_preturi!$A:$K,3,FALSE),"")</f>
        <v>Țeavă zincată DN15*2.8mm</v>
      </c>
      <c r="D9" s="19" t="str">
        <f>IFERROR(VLOOKUP($B9,Baza_preturi!$A:$K,6,FALSE),"")</f>
        <v>m</v>
      </c>
      <c r="E9" s="18">
        <v>20</v>
      </c>
      <c r="F9" s="20" t="str">
        <f>IFERROR(VLOOKUP($B9,Baza_preturi!$A:$K,9,FALSE),"")</f>
        <v/>
      </c>
      <c r="G9" s="20" t="str">
        <f t="shared" si="0"/>
        <v/>
      </c>
      <c r="H9" s="19" t="str">
        <f>IF($B9="","",IFERROR(IF(VLOOKUP($B9,Baza_preturi!$A:$A,1,FALSE)=$B9,"OK","VERIFICĂ"),"COD NU EXISTĂ"))</f>
        <v>OK</v>
      </c>
    </row>
    <row r="10" spans="1:8">
      <c r="A10" s="17" t="s">
        <v>10</v>
      </c>
      <c r="B10" s="18" t="s">
        <v>384</v>
      </c>
      <c r="C10" s="10" t="str">
        <f>IFERROR(VLOOKUP($B10,Baza_preturi!$A:$K,3,FALSE),"")</f>
        <v>Țeavă zincată DN32*2.8mm</v>
      </c>
      <c r="D10" s="19" t="str">
        <f>IFERROR(VLOOKUP($B10,Baza_preturi!$A:$K,6,FALSE),"")</f>
        <v>m</v>
      </c>
      <c r="E10" s="18">
        <v>50</v>
      </c>
      <c r="F10" s="20">
        <f>IFERROR(VLOOKUP($B10,Baza_preturi!$A:$K,9,FALSE),"")</f>
        <v>52.5</v>
      </c>
      <c r="G10" s="20">
        <f t="shared" si="0"/>
        <v>2625</v>
      </c>
      <c r="H10" s="19" t="str">
        <f>IF($B10="","",IFERROR(IF(VLOOKUP($B10,Baza_preturi!$A:$A,1,FALSE)=$B10,"OK","VERIFICĂ"),"COD NU EXISTĂ"))</f>
        <v>OK</v>
      </c>
    </row>
    <row r="11" spans="1:8">
      <c r="A11" s="17" t="s">
        <v>10</v>
      </c>
      <c r="B11" s="18" t="s">
        <v>76</v>
      </c>
      <c r="C11" s="10" t="str">
        <f>IFERROR(VLOOKUP($B11,Baza_preturi!$A:$K,3,FALSE),"")</f>
        <v/>
      </c>
      <c r="D11" s="19" t="str">
        <f>IFERROR(VLOOKUP($B11,Baza_preturi!$A:$K,6,FALSE),"")</f>
        <v/>
      </c>
      <c r="E11" s="18"/>
      <c r="F11" s="20" t="str">
        <f>IFERROR(VLOOKUP($B11,Baza_preturi!$A:$K,9,FALSE),"")</f>
        <v/>
      </c>
      <c r="G11" s="20" t="str">
        <f t="shared" si="0"/>
        <v/>
      </c>
      <c r="H11" s="19" t="str">
        <f>IF($B11="","",IFERROR(IF(VLOOKUP($B11,Baza_preturi!$A:$A,1,FALSE)=$B11,"OK","VERIFICĂ"),"COD NU EXISTĂ"))</f>
        <v>COD NU EXISTĂ</v>
      </c>
    </row>
    <row r="12" spans="1:8">
      <c r="A12" s="17" t="s">
        <v>10</v>
      </c>
      <c r="B12" s="18" t="s">
        <v>372</v>
      </c>
      <c r="C12" s="10" t="str">
        <f>IFERROR(VLOOKUP($B12,Baza_preturi!$A:$K,3,FALSE),"")</f>
        <v>Țeavă zincată DN15*2.2mm</v>
      </c>
      <c r="D12" s="19" t="str">
        <f>IFERROR(VLOOKUP($B12,Baza_preturi!$A:$K,6,FALSE),"")</f>
        <v>m</v>
      </c>
      <c r="E12" s="18">
        <v>225</v>
      </c>
      <c r="F12" s="20" t="str">
        <f>IFERROR(VLOOKUP($B12,Baza_preturi!$A:$K,9,FALSE),"")</f>
        <v/>
      </c>
      <c r="G12" s="20" t="str">
        <f t="shared" si="0"/>
        <v/>
      </c>
      <c r="H12" s="19" t="str">
        <f>IF($B12="","",IFERROR(IF(VLOOKUP($B12,Baza_preturi!$A:$A,1,FALSE)=$B12,"OK","VERIFICĂ"),"COD NU EXISTĂ"))</f>
        <v>OK</v>
      </c>
    </row>
    <row r="13" spans="1:8">
      <c r="A13" s="17" t="s">
        <v>10</v>
      </c>
      <c r="B13" s="18"/>
      <c r="C13" s="10" t="str">
        <f>IFERROR(VLOOKUP($B13,Baza_preturi!$A:$K,3,FALSE),"")</f>
        <v/>
      </c>
      <c r="D13" s="19" t="str">
        <f>IFERROR(VLOOKUP($B13,Baza_preturi!$A:$K,6,FALSE),"")</f>
        <v/>
      </c>
      <c r="E13" s="18"/>
      <c r="F13" s="20" t="str">
        <f>IFERROR(VLOOKUP($B13,Baza_preturi!$A:$K,9,FALSE),"")</f>
        <v/>
      </c>
      <c r="G13" s="20" t="str">
        <f t="shared" si="0"/>
        <v/>
      </c>
      <c r="H13" s="19" t="str">
        <f>IF($B13="","",IFERROR(IF(VLOOKUP($B13,Baza_preturi!$A:$A,1,FALSE)=$B13,"OK","VERIFICĂ"),"COD NU EXISTĂ"))</f>
        <v/>
      </c>
    </row>
    <row r="14" spans="1:8">
      <c r="A14" s="17" t="s">
        <v>10</v>
      </c>
      <c r="B14" s="18"/>
      <c r="C14" s="10" t="str">
        <f>IFERROR(VLOOKUP($B14,Baza_preturi!$A:$K,3,FALSE),"")</f>
        <v/>
      </c>
      <c r="D14" s="19" t="str">
        <f>IFERROR(VLOOKUP($B14,Baza_preturi!$A:$K,6,FALSE),"")</f>
        <v/>
      </c>
      <c r="E14" s="18"/>
      <c r="F14" s="20" t="str">
        <f>IFERROR(VLOOKUP($B14,Baza_preturi!$A:$K,9,FALSE),"")</f>
        <v/>
      </c>
      <c r="G14" s="20" t="str">
        <f t="shared" si="0"/>
        <v/>
      </c>
      <c r="H14" s="19" t="str">
        <f>IF($B14="","",IFERROR(IF(VLOOKUP($B14,Baza_preturi!$A:$A,1,FALSE)=$B14,"OK","VERIFICĂ"),"COD NU EXISTĂ"))</f>
        <v/>
      </c>
    </row>
    <row r="15" spans="1:8">
      <c r="A15" s="17" t="s">
        <v>10</v>
      </c>
      <c r="B15" s="18"/>
      <c r="C15" s="10" t="str">
        <f>IFERROR(VLOOKUP($B15,Baza_preturi!$A:$K,3,FALSE),"")</f>
        <v/>
      </c>
      <c r="D15" s="19" t="str">
        <f>IFERROR(VLOOKUP($B15,Baza_preturi!$A:$K,6,FALSE),"")</f>
        <v/>
      </c>
      <c r="E15" s="18"/>
      <c r="F15" s="20" t="str">
        <f>IFERROR(VLOOKUP($B15,Baza_preturi!$A:$K,9,FALSE),"")</f>
        <v/>
      </c>
      <c r="G15" s="20" t="str">
        <f t="shared" si="0"/>
        <v/>
      </c>
      <c r="H15" s="19" t="str">
        <f>IF($B15="","",IFERROR(IF(VLOOKUP($B15,Baza_preturi!$A:$A,1,FALSE)=$B15,"OK","VERIFICĂ"),"COD NU EXISTĂ"))</f>
        <v/>
      </c>
    </row>
    <row r="16" spans="1:8">
      <c r="A16" s="17" t="s">
        <v>10</v>
      </c>
      <c r="B16" s="18"/>
      <c r="C16" s="10" t="str">
        <f>IFERROR(VLOOKUP($B16,Baza_preturi!$A:$K,3,FALSE),"")</f>
        <v/>
      </c>
      <c r="D16" s="19" t="str">
        <f>IFERROR(VLOOKUP($B16,Baza_preturi!$A:$K,6,FALSE),"")</f>
        <v/>
      </c>
      <c r="E16" s="18"/>
      <c r="F16" s="20" t="str">
        <f>IFERROR(VLOOKUP($B16,Baza_preturi!$A:$K,9,FALSE),"")</f>
        <v/>
      </c>
      <c r="G16" s="20" t="str">
        <f t="shared" si="0"/>
        <v/>
      </c>
      <c r="H16" s="19" t="str">
        <f>IF($B16="","",IFERROR(IF(VLOOKUP($B16,Baza_preturi!$A:$A,1,FALSE)=$B16,"OK","VERIFICĂ"),"COD NU EXISTĂ"))</f>
        <v/>
      </c>
    </row>
    <row r="17" spans="1:8">
      <c r="A17" s="17" t="s">
        <v>10</v>
      </c>
      <c r="B17" s="18"/>
      <c r="C17" s="10" t="str">
        <f>IFERROR(VLOOKUP($B17,Baza_preturi!$A:$K,3,FALSE),"")</f>
        <v/>
      </c>
      <c r="D17" s="19" t="str">
        <f>IFERROR(VLOOKUP($B17,Baza_preturi!$A:$K,6,FALSE),"")</f>
        <v/>
      </c>
      <c r="E17" s="18"/>
      <c r="F17" s="20" t="str">
        <f>IFERROR(VLOOKUP($B17,Baza_preturi!$A:$K,9,FALSE),"")</f>
        <v/>
      </c>
      <c r="G17" s="20" t="str">
        <f t="shared" si="0"/>
        <v/>
      </c>
      <c r="H17" s="19" t="str">
        <f>IF($B17="","",IFERROR(IF(VLOOKUP($B17,Baza_preturi!$A:$A,1,FALSE)=$B17,"OK","VERIFICĂ"),"COD NU EXISTĂ"))</f>
        <v/>
      </c>
    </row>
    <row r="18" spans="1:8">
      <c r="A18" s="17" t="s">
        <v>10</v>
      </c>
      <c r="B18" s="18"/>
      <c r="C18" s="10" t="str">
        <f>IFERROR(VLOOKUP($B18,Baza_preturi!$A:$K,3,FALSE),"")</f>
        <v/>
      </c>
      <c r="D18" s="19" t="str">
        <f>IFERROR(VLOOKUP($B18,Baza_preturi!$A:$K,6,FALSE),"")</f>
        <v/>
      </c>
      <c r="E18" s="18"/>
      <c r="F18" s="20" t="str">
        <f>IFERROR(VLOOKUP($B18,Baza_preturi!$A:$K,9,FALSE),"")</f>
        <v/>
      </c>
      <c r="G18" s="20" t="str">
        <f t="shared" si="0"/>
        <v/>
      </c>
      <c r="H18" s="19" t="str">
        <f>IF($B18="","",IFERROR(IF(VLOOKUP($B18,Baza_preturi!$A:$A,1,FALSE)=$B18,"OK","VERIFICĂ"),"COD NU EXISTĂ"))</f>
        <v/>
      </c>
    </row>
    <row r="19" spans="1:8">
      <c r="A19" s="17" t="s">
        <v>10</v>
      </c>
      <c r="B19" s="18"/>
      <c r="C19" s="10" t="str">
        <f>IFERROR(VLOOKUP($B19,Baza_preturi!$A:$K,3,FALSE),"")</f>
        <v/>
      </c>
      <c r="D19" s="19" t="str">
        <f>IFERROR(VLOOKUP($B19,Baza_preturi!$A:$K,6,FALSE),"")</f>
        <v/>
      </c>
      <c r="E19" s="18"/>
      <c r="F19" s="20" t="str">
        <f>IFERROR(VLOOKUP($B19,Baza_preturi!$A:$K,9,FALSE),"")</f>
        <v/>
      </c>
      <c r="G19" s="20" t="str">
        <f t="shared" si="0"/>
        <v/>
      </c>
      <c r="H19" s="19" t="str">
        <f>IF($B19="","",IFERROR(IF(VLOOKUP($B19,Baza_preturi!$A:$A,1,FALSE)=$B19,"OK","VERIFICĂ"),"COD NU EXISTĂ"))</f>
        <v/>
      </c>
    </row>
    <row r="20" spans="1:8">
      <c r="A20" s="17" t="s">
        <v>10</v>
      </c>
      <c r="B20" s="18"/>
      <c r="C20" s="10" t="str">
        <f>IFERROR(VLOOKUP($B20,Baza_preturi!$A:$K,3,FALSE),"")</f>
        <v/>
      </c>
      <c r="D20" s="19" t="str">
        <f>IFERROR(VLOOKUP($B20,Baza_preturi!$A:$K,6,FALSE),"")</f>
        <v/>
      </c>
      <c r="E20" s="18"/>
      <c r="F20" s="20" t="str">
        <f>IFERROR(VLOOKUP($B20,Baza_preturi!$A:$K,9,FALSE),"")</f>
        <v/>
      </c>
      <c r="G20" s="20" t="str">
        <f t="shared" si="0"/>
        <v/>
      </c>
      <c r="H20" s="19" t="str">
        <f>IF($B20="","",IFERROR(IF(VLOOKUP($B20,Baza_preturi!$A:$A,1,FALSE)=$B20,"OK","VERIFICĂ"),"COD NU EXISTĂ"))</f>
        <v/>
      </c>
    </row>
    <row r="21" spans="1:8">
      <c r="A21" s="17" t="s">
        <v>18</v>
      </c>
      <c r="B21" s="18" t="s">
        <v>202</v>
      </c>
      <c r="C21" s="10" t="str">
        <f>IFERROR(VLOOKUP($B21,Baza_preturi!$A:$K,3,FALSE),"")</f>
        <v>Vană fluture DN50 PN16</v>
      </c>
      <c r="D21" s="19" t="str">
        <f>IFERROR(VLOOKUP($B21,Baza_preturi!$A:$K,6,FALSE),"")</f>
        <v>buc</v>
      </c>
      <c r="E21" s="18"/>
      <c r="F21" s="20">
        <f>IFERROR(VLOOKUP($B21,Baza_preturi!$A:$K,9,FALSE),"")</f>
        <v>700</v>
      </c>
      <c r="G21" s="20" t="str">
        <f t="shared" si="0"/>
        <v/>
      </c>
      <c r="H21" s="19" t="str">
        <f>IF($B21="","",IFERROR(IF(VLOOKUP($B21,Baza_preturi!$A:$A,1,FALSE)=$B21,"OK","VERIFICĂ"),"COD NU EXISTĂ"))</f>
        <v>OK</v>
      </c>
    </row>
    <row r="22" spans="1:8">
      <c r="A22" s="17" t="s">
        <v>18</v>
      </c>
      <c r="B22" s="18"/>
      <c r="C22" s="10" t="str">
        <f>IFERROR(VLOOKUP($B22,Baza_preturi!$A:$K,3,FALSE),"")</f>
        <v/>
      </c>
      <c r="D22" s="19" t="str">
        <f>IFERROR(VLOOKUP($B22,Baza_preturi!$A:$K,6,FALSE),"")</f>
        <v/>
      </c>
      <c r="E22" s="18"/>
      <c r="F22" s="20" t="str">
        <f>IFERROR(VLOOKUP($B22,Baza_preturi!$A:$K,9,FALSE),"")</f>
        <v/>
      </c>
      <c r="G22" s="20" t="str">
        <f t="shared" si="0"/>
        <v/>
      </c>
      <c r="H22" s="19" t="str">
        <f>IF($B22="","",IFERROR(IF(VLOOKUP($B22,Baza_preturi!$A:$A,1,FALSE)=$B22,"OK","VERIFICĂ"),"COD NU EXISTĂ"))</f>
        <v/>
      </c>
    </row>
    <row r="23" spans="1:8">
      <c r="A23" s="17" t="s">
        <v>18</v>
      </c>
      <c r="B23" s="18"/>
      <c r="C23" s="10" t="str">
        <f>IFERROR(VLOOKUP($B23,Baza_preturi!$A:$K,3,FALSE),"")</f>
        <v/>
      </c>
      <c r="D23" s="19" t="str">
        <f>IFERROR(VLOOKUP($B23,Baza_preturi!$A:$K,6,FALSE),"")</f>
        <v/>
      </c>
      <c r="E23" s="18"/>
      <c r="F23" s="20" t="str">
        <f>IFERROR(VLOOKUP($B23,Baza_preturi!$A:$K,9,FALSE),"")</f>
        <v/>
      </c>
      <c r="G23" s="20" t="str">
        <f t="shared" si="0"/>
        <v/>
      </c>
      <c r="H23" s="19" t="str">
        <f>IF($B23="","",IFERROR(IF(VLOOKUP($B23,Baza_preturi!$A:$A,1,FALSE)=$B23,"OK","VERIFICĂ"),"COD NU EXISTĂ"))</f>
        <v/>
      </c>
    </row>
    <row r="24" spans="1:8">
      <c r="A24" s="17" t="s">
        <v>18</v>
      </c>
      <c r="B24" s="18"/>
      <c r="C24" s="10" t="str">
        <f>IFERROR(VLOOKUP($B24,Baza_preturi!$A:$K,3,FALSE),"")</f>
        <v/>
      </c>
      <c r="D24" s="19" t="str">
        <f>IFERROR(VLOOKUP($B24,Baza_preturi!$A:$K,6,FALSE),"")</f>
        <v/>
      </c>
      <c r="E24" s="18"/>
      <c r="F24" s="20" t="str">
        <f>IFERROR(VLOOKUP($B24,Baza_preturi!$A:$K,9,FALSE),"")</f>
        <v/>
      </c>
      <c r="G24" s="20" t="str">
        <f t="shared" si="0"/>
        <v/>
      </c>
      <c r="H24" s="19" t="str">
        <f>IF($B24="","",IFERROR(IF(VLOOKUP($B24,Baza_preturi!$A:$A,1,FALSE)=$B24,"OK","VERIFICĂ"),"COD NU EXISTĂ"))</f>
        <v/>
      </c>
    </row>
    <row r="25" spans="1:8">
      <c r="A25" s="17" t="s">
        <v>18</v>
      </c>
      <c r="B25" s="18"/>
      <c r="C25" s="10" t="str">
        <f>IFERROR(VLOOKUP($B25,Baza_preturi!$A:$K,3,FALSE),"")</f>
        <v/>
      </c>
      <c r="D25" s="19" t="str">
        <f>IFERROR(VLOOKUP($B25,Baza_preturi!$A:$K,6,FALSE),"")</f>
        <v/>
      </c>
      <c r="E25" s="18"/>
      <c r="F25" s="20" t="str">
        <f>IFERROR(VLOOKUP($B25,Baza_preturi!$A:$K,9,FALSE),"")</f>
        <v/>
      </c>
      <c r="G25" s="20" t="str">
        <f t="shared" si="0"/>
        <v/>
      </c>
      <c r="H25" s="19" t="str">
        <f>IF($B25="","",IFERROR(IF(VLOOKUP($B25,Baza_preturi!$A:$A,1,FALSE)=$B25,"OK","VERIFICĂ"),"COD NU EXISTĂ"))</f>
        <v/>
      </c>
    </row>
    <row r="26" spans="1:8">
      <c r="A26" s="17" t="s">
        <v>18</v>
      </c>
      <c r="B26" s="18"/>
      <c r="C26" s="10" t="str">
        <f>IFERROR(VLOOKUP($B26,Baza_preturi!$A:$K,3,FALSE),"")</f>
        <v/>
      </c>
      <c r="D26" s="19" t="str">
        <f>IFERROR(VLOOKUP($B26,Baza_preturi!$A:$K,6,FALSE),"")</f>
        <v/>
      </c>
      <c r="E26" s="18"/>
      <c r="F26" s="20" t="str">
        <f>IFERROR(VLOOKUP($B26,Baza_preturi!$A:$K,9,FALSE),"")</f>
        <v/>
      </c>
      <c r="G26" s="20" t="str">
        <f t="shared" si="0"/>
        <v/>
      </c>
      <c r="H26" s="19" t="str">
        <f>IF($B26="","",IFERROR(IF(VLOOKUP($B26,Baza_preturi!$A:$A,1,FALSE)=$B26,"OK","VERIFICĂ"),"COD NU EXISTĂ"))</f>
        <v/>
      </c>
    </row>
    <row r="27" spans="1:8">
      <c r="A27" s="17" t="s">
        <v>18</v>
      </c>
      <c r="B27" s="18"/>
      <c r="C27" s="10" t="str">
        <f>IFERROR(VLOOKUP($B27,Baza_preturi!$A:$K,3,FALSE),"")</f>
        <v/>
      </c>
      <c r="D27" s="19" t="str">
        <f>IFERROR(VLOOKUP($B27,Baza_preturi!$A:$K,6,FALSE),"")</f>
        <v/>
      </c>
      <c r="E27" s="18"/>
      <c r="F27" s="20" t="str">
        <f>IFERROR(VLOOKUP($B27,Baza_preturi!$A:$K,9,FALSE),"")</f>
        <v/>
      </c>
      <c r="G27" s="20" t="str">
        <f t="shared" si="0"/>
        <v/>
      </c>
      <c r="H27" s="19" t="str">
        <f>IF($B27="","",IFERROR(IF(VLOOKUP($B27,Baza_preturi!$A:$A,1,FALSE)=$B27,"OK","VERIFICĂ"),"COD NU EXISTĂ"))</f>
        <v/>
      </c>
    </row>
    <row r="28" spans="1:8">
      <c r="A28" s="17" t="s">
        <v>18</v>
      </c>
      <c r="B28" s="18"/>
      <c r="C28" s="10" t="str">
        <f>IFERROR(VLOOKUP($B28,Baza_preturi!$A:$K,3,FALSE),"")</f>
        <v/>
      </c>
      <c r="D28" s="19" t="str">
        <f>IFERROR(VLOOKUP($B28,Baza_preturi!$A:$K,6,FALSE),"")</f>
        <v/>
      </c>
      <c r="E28" s="18"/>
      <c r="F28" s="20" t="str">
        <f>IFERROR(VLOOKUP($B28,Baza_preturi!$A:$K,9,FALSE),"")</f>
        <v/>
      </c>
      <c r="G28" s="20" t="str">
        <f t="shared" si="0"/>
        <v/>
      </c>
      <c r="H28" s="19" t="str">
        <f>IF($B28="","",IFERROR(IF(VLOOKUP($B28,Baza_preturi!$A:$A,1,FALSE)=$B28,"OK","VERIFICĂ"),"COD NU EXISTĂ"))</f>
        <v/>
      </c>
    </row>
    <row r="29" spans="1:8">
      <c r="A29" s="17" t="s">
        <v>18</v>
      </c>
      <c r="B29" s="18"/>
      <c r="C29" s="10" t="str">
        <f>IFERROR(VLOOKUP($B29,Baza_preturi!$A:$K,3,FALSE),"")</f>
        <v/>
      </c>
      <c r="D29" s="19" t="str">
        <f>IFERROR(VLOOKUP($B29,Baza_preturi!$A:$K,6,FALSE),"")</f>
        <v/>
      </c>
      <c r="E29" s="18"/>
      <c r="F29" s="20" t="str">
        <f>IFERROR(VLOOKUP($B29,Baza_preturi!$A:$K,9,FALSE),"")</f>
        <v/>
      </c>
      <c r="G29" s="20" t="str">
        <f t="shared" si="0"/>
        <v/>
      </c>
      <c r="H29" s="19" t="str">
        <f>IF($B29="","",IFERROR(IF(VLOOKUP($B29,Baza_preturi!$A:$A,1,FALSE)=$B29,"OK","VERIFICĂ"),"COD NU EXISTĂ"))</f>
        <v/>
      </c>
    </row>
    <row r="30" spans="1:8">
      <c r="A30" s="17" t="s">
        <v>18</v>
      </c>
      <c r="B30" s="18"/>
      <c r="C30" s="10" t="str">
        <f>IFERROR(VLOOKUP($B30,Baza_preturi!$A:$K,3,FALSE),"")</f>
        <v/>
      </c>
      <c r="D30" s="19" t="str">
        <f>IFERROR(VLOOKUP($B30,Baza_preturi!$A:$K,6,FALSE),"")</f>
        <v/>
      </c>
      <c r="E30" s="18"/>
      <c r="F30" s="20" t="str">
        <f>IFERROR(VLOOKUP($B30,Baza_preturi!$A:$K,9,FALSE),"")</f>
        <v/>
      </c>
      <c r="G30" s="20" t="str">
        <f t="shared" si="0"/>
        <v/>
      </c>
      <c r="H30" s="19" t="str">
        <f>IF($B30="","",IFERROR(IF(VLOOKUP($B30,Baza_preturi!$A:$A,1,FALSE)=$B30,"OK","VERIFICĂ"),"COD NU EXISTĂ"))</f>
        <v/>
      </c>
    </row>
    <row r="31" spans="1:8">
      <c r="A31" s="17" t="s">
        <v>18</v>
      </c>
      <c r="B31" s="18"/>
      <c r="C31" s="10" t="str">
        <f>IFERROR(VLOOKUP($B31,Baza_preturi!$A:$K,3,FALSE),"")</f>
        <v/>
      </c>
      <c r="D31" s="19" t="str">
        <f>IFERROR(VLOOKUP($B31,Baza_preturi!$A:$K,6,FALSE),"")</f>
        <v/>
      </c>
      <c r="E31" s="18"/>
      <c r="F31" s="20" t="str">
        <f>IFERROR(VLOOKUP($B31,Baza_preturi!$A:$K,9,FALSE),"")</f>
        <v/>
      </c>
      <c r="G31" s="20" t="str">
        <f t="shared" si="0"/>
        <v/>
      </c>
      <c r="H31" s="19" t="str">
        <f>IF($B31="","",IFERROR(IF(VLOOKUP($B31,Baza_preturi!$A:$A,1,FALSE)=$B31,"OK","VERIFICĂ"),"COD NU EXISTĂ"))</f>
        <v/>
      </c>
    </row>
    <row r="32" spans="1:8">
      <c r="A32" s="17" t="s">
        <v>18</v>
      </c>
      <c r="B32" s="18"/>
      <c r="C32" s="10" t="str">
        <f>IFERROR(VLOOKUP($B32,Baza_preturi!$A:$K,3,FALSE),"")</f>
        <v/>
      </c>
      <c r="D32" s="19" t="str">
        <f>IFERROR(VLOOKUP($B32,Baza_preturi!$A:$K,6,FALSE),"")</f>
        <v/>
      </c>
      <c r="E32" s="18"/>
      <c r="F32" s="20" t="str">
        <f>IFERROR(VLOOKUP($B32,Baza_preturi!$A:$K,9,FALSE),"")</f>
        <v/>
      </c>
      <c r="G32" s="20" t="str">
        <f t="shared" si="0"/>
        <v/>
      </c>
      <c r="H32" s="19" t="str">
        <f>IF($B32="","",IFERROR(IF(VLOOKUP($B32,Baza_preturi!$A:$A,1,FALSE)=$B32,"OK","VERIFICĂ"),"COD NU EXISTĂ"))</f>
        <v/>
      </c>
    </row>
    <row r="33" spans="1:8">
      <c r="A33" s="17" t="s">
        <v>18</v>
      </c>
      <c r="B33" s="22"/>
      <c r="C33" s="10" t="str">
        <f>IFERROR(VLOOKUP($B33,Baza_preturi!$A:$K,3,FALSE),"")</f>
        <v/>
      </c>
      <c r="D33" s="19" t="str">
        <f>IFERROR(VLOOKUP($B33,Baza_preturi!$A:$K,6,FALSE),"")</f>
        <v/>
      </c>
      <c r="E33" s="18"/>
      <c r="F33" s="20" t="str">
        <f>IFERROR(VLOOKUP($B33,Baza_preturi!$A:$K,9,FALSE),"")</f>
        <v/>
      </c>
      <c r="G33" s="20" t="str">
        <f t="shared" si="0"/>
        <v/>
      </c>
      <c r="H33" s="19" t="str">
        <f>IF($B33="","",IFERROR(IF(VLOOKUP($B33,Baza_preturi!$A:$A,1,FALSE)=$B33,"OK","VERIFICĂ"),"COD NU EXISTĂ"))</f>
        <v/>
      </c>
    </row>
    <row r="34" spans="1:8">
      <c r="A34" s="17" t="s">
        <v>18</v>
      </c>
      <c r="B34" s="18"/>
      <c r="C34" s="10" t="str">
        <f>IFERROR(VLOOKUP($B34,Baza_preturi!$A:$K,3,FALSE),"")</f>
        <v/>
      </c>
      <c r="D34" s="19" t="str">
        <f>IFERROR(VLOOKUP($B34,Baza_preturi!$A:$K,6,FALSE),"")</f>
        <v/>
      </c>
      <c r="E34" s="18"/>
      <c r="F34" s="20" t="str">
        <f>IFERROR(VLOOKUP($B34,Baza_preturi!$A:$K,9,FALSE),"")</f>
        <v/>
      </c>
      <c r="G34" s="20" t="str">
        <f t="shared" si="0"/>
        <v/>
      </c>
      <c r="H34" s="19" t="str">
        <f>IF($B34="","",IFERROR(IF(VLOOKUP($B34,Baza_preturi!$A:$A,1,FALSE)=$B34,"OK","VERIFICĂ"),"COD NU EXISTĂ"))</f>
        <v/>
      </c>
    </row>
    <row r="35" spans="1:8">
      <c r="A35" s="17" t="s">
        <v>18</v>
      </c>
      <c r="B35" s="18"/>
      <c r="C35" s="10" t="str">
        <f>IFERROR(VLOOKUP($B35,Baza_preturi!$A:$K,3,FALSE),"")</f>
        <v/>
      </c>
      <c r="D35" s="19" t="str">
        <f>IFERROR(VLOOKUP($B35,Baza_preturi!$A:$K,6,FALSE),"")</f>
        <v/>
      </c>
      <c r="E35" s="18"/>
      <c r="F35" s="20" t="str">
        <f>IFERROR(VLOOKUP($B35,Baza_preturi!$A:$K,9,FALSE),"")</f>
        <v/>
      </c>
      <c r="G35" s="20" t="str">
        <f t="shared" si="0"/>
        <v/>
      </c>
      <c r="H35" s="19" t="str">
        <f>IF($B35="","",IFERROR(IF(VLOOKUP($B35,Baza_preturi!$A:$A,1,FALSE)=$B35,"OK","VERIFICĂ"),"COD NU EXISTĂ"))</f>
        <v/>
      </c>
    </row>
    <row r="36" spans="1:8">
      <c r="A36" s="17" t="s">
        <v>20</v>
      </c>
      <c r="B36" s="18"/>
      <c r="C36" s="10" t="str">
        <f>IFERROR(VLOOKUP($B36,Baza_preturi!$A:$K,3,FALSE),"")</f>
        <v/>
      </c>
      <c r="D36" s="19" t="str">
        <f>IFERROR(VLOOKUP($B36,Baza_preturi!$A:$K,6,FALSE),"")</f>
        <v/>
      </c>
      <c r="E36" s="18"/>
      <c r="F36" s="20" t="str">
        <f>IFERROR(VLOOKUP($B36,Baza_preturi!$A:$K,9,FALSE),"")</f>
        <v/>
      </c>
      <c r="G36" s="20" t="str">
        <f t="shared" si="0"/>
        <v/>
      </c>
      <c r="H36" s="19" t="str">
        <f>IF($B36="","",IFERROR(IF(VLOOKUP($B36,Baza_preturi!$A:$A,1,FALSE)=$B36,"OK","VERIFICĂ"),"COD NU EXISTĂ"))</f>
        <v/>
      </c>
    </row>
    <row r="37" spans="1:8">
      <c r="A37" s="17" t="s">
        <v>20</v>
      </c>
      <c r="B37" s="18"/>
      <c r="C37" s="10" t="str">
        <f>IFERROR(VLOOKUP($B37,Baza_preturi!$A:$K,3,FALSE),"")</f>
        <v/>
      </c>
      <c r="D37" s="19" t="str">
        <f>IFERROR(VLOOKUP($B37,Baza_preturi!$A:$K,6,FALSE),"")</f>
        <v/>
      </c>
      <c r="E37" s="18"/>
      <c r="F37" s="20" t="str">
        <f>IFERROR(VLOOKUP($B37,Baza_preturi!$A:$K,9,FALSE),"")</f>
        <v/>
      </c>
      <c r="G37" s="20" t="str">
        <f t="shared" si="0"/>
        <v/>
      </c>
      <c r="H37" s="19" t="str">
        <f>IF($B37="","",IFERROR(IF(VLOOKUP($B37,Baza_preturi!$A:$A,1,FALSE)=$B37,"OK","VERIFICĂ"),"COD NU EXISTĂ"))</f>
        <v/>
      </c>
    </row>
    <row r="38" spans="1:8">
      <c r="A38" s="17" t="s">
        <v>20</v>
      </c>
      <c r="B38" s="18"/>
      <c r="C38" s="10" t="str">
        <f>IFERROR(VLOOKUP($B38,Baza_preturi!$A:$K,3,FALSE),"")</f>
        <v/>
      </c>
      <c r="D38" s="19" t="str">
        <f>IFERROR(VLOOKUP($B38,Baza_preturi!$A:$K,6,FALSE),"")</f>
        <v/>
      </c>
      <c r="E38" s="18"/>
      <c r="F38" s="20" t="str">
        <f>IFERROR(VLOOKUP($B38,Baza_preturi!$A:$K,9,FALSE),"")</f>
        <v/>
      </c>
      <c r="G38" s="20" t="str">
        <f t="shared" ref="G38:G69" si="1">IF(OR($E38="", $F38=""),"", $E38*$F38)</f>
        <v/>
      </c>
      <c r="H38" s="19" t="str">
        <f>IF($B38="","",IFERROR(IF(VLOOKUP($B38,Baza_preturi!$A:$A,1,FALSE)=$B38,"OK","VERIFICĂ"),"COD NU EXISTĂ"))</f>
        <v/>
      </c>
    </row>
    <row r="39" spans="1:8">
      <c r="A39" s="17" t="s">
        <v>20</v>
      </c>
      <c r="B39" s="22" t="s">
        <v>247</v>
      </c>
      <c r="C39" s="10" t="str">
        <f>IFERROR(VLOOKUP($B39,Baza_preturi!$A:$K,3,FALSE),"")</f>
        <v>Rezervor apă</v>
      </c>
      <c r="D39" s="19" t="str">
        <f>IFERROR(VLOOKUP($B39,Baza_preturi!$A:$K,6,FALSE),"")</f>
        <v>buc</v>
      </c>
      <c r="E39" s="18">
        <v>1</v>
      </c>
      <c r="F39" s="20">
        <f>IFERROR(VLOOKUP($B39,Baza_preturi!$A:$K,9,FALSE),"")</f>
        <v>56250</v>
      </c>
      <c r="G39" s="20">
        <f t="shared" si="1"/>
        <v>56250</v>
      </c>
      <c r="H39" s="19" t="str">
        <f>IF($B39="","",IFERROR(IF(VLOOKUP($B39,Baza_preturi!$A:$A,1,FALSE)=$B39,"OK","VERIFICĂ"),"COD NU EXISTĂ"))</f>
        <v>OK</v>
      </c>
    </row>
    <row r="40" spans="1:8">
      <c r="A40" s="17" t="s">
        <v>20</v>
      </c>
      <c r="B40" s="18"/>
      <c r="C40" s="10" t="str">
        <f>IFERROR(VLOOKUP($B40,Baza_preturi!$A:$K,3,FALSE),"")</f>
        <v/>
      </c>
      <c r="D40" s="19" t="str">
        <f>IFERROR(VLOOKUP($B40,Baza_preturi!$A:$K,6,FALSE),"")</f>
        <v/>
      </c>
      <c r="E40" s="18"/>
      <c r="F40" s="20" t="str">
        <f>IFERROR(VLOOKUP($B40,Baza_preturi!$A:$K,9,FALSE),"")</f>
        <v/>
      </c>
      <c r="G40" s="20" t="str">
        <f t="shared" si="1"/>
        <v/>
      </c>
      <c r="H40" s="19" t="str">
        <f>IF($B40="","",IFERROR(IF(VLOOKUP($B40,Baza_preturi!$A:$A,1,FALSE)=$B40,"OK","VERIFICĂ"),"COD NU EXISTĂ"))</f>
        <v/>
      </c>
    </row>
    <row r="41" spans="1:8">
      <c r="A41" s="17" t="s">
        <v>20</v>
      </c>
      <c r="B41" s="18"/>
      <c r="C41" s="10" t="str">
        <f>IFERROR(VLOOKUP($B41,Baza_preturi!$A:$K,3,FALSE),"")</f>
        <v/>
      </c>
      <c r="D41" s="19" t="str">
        <f>IFERROR(VLOOKUP($B41,Baza_preturi!$A:$K,6,FALSE),"")</f>
        <v/>
      </c>
      <c r="E41" s="18"/>
      <c r="F41" s="20" t="str">
        <f>IFERROR(VLOOKUP($B41,Baza_preturi!$A:$K,9,FALSE),"")</f>
        <v/>
      </c>
      <c r="G41" s="20" t="str">
        <f t="shared" si="1"/>
        <v/>
      </c>
      <c r="H41" s="19" t="str">
        <f>IF($B41="","",IFERROR(IF(VLOOKUP($B41,Baza_preturi!$A:$A,1,FALSE)=$B41,"OK","VERIFICĂ"),"COD NU EXISTĂ"))</f>
        <v/>
      </c>
    </row>
    <row r="42" spans="1:8">
      <c r="A42" s="17" t="s">
        <v>20</v>
      </c>
      <c r="B42" s="18"/>
      <c r="C42" s="10" t="str">
        <f>IFERROR(VLOOKUP($B42,Baza_preturi!$A:$K,3,FALSE),"")</f>
        <v/>
      </c>
      <c r="D42" s="19" t="str">
        <f>IFERROR(VLOOKUP($B42,Baza_preturi!$A:$K,6,FALSE),"")</f>
        <v/>
      </c>
      <c r="E42" s="18"/>
      <c r="F42" s="20" t="str">
        <f>IFERROR(VLOOKUP($B42,Baza_preturi!$A:$K,9,FALSE),"")</f>
        <v/>
      </c>
      <c r="G42" s="20" t="str">
        <f t="shared" si="1"/>
        <v/>
      </c>
      <c r="H42" s="19" t="str">
        <f>IF($B42="","",IFERROR(IF(VLOOKUP($B42,Baza_preturi!$A:$A,1,FALSE)=$B42,"OK","VERIFICĂ"),"COD NU EXISTĂ"))</f>
        <v/>
      </c>
    </row>
    <row r="43" spans="1:8">
      <c r="A43" s="17" t="s">
        <v>20</v>
      </c>
      <c r="B43" s="18"/>
      <c r="C43" s="10" t="str">
        <f>IFERROR(VLOOKUP($B43,Baza_preturi!$A:$K,3,FALSE),"")</f>
        <v/>
      </c>
      <c r="D43" s="19" t="str">
        <f>IFERROR(VLOOKUP($B43,Baza_preturi!$A:$K,6,FALSE),"")</f>
        <v/>
      </c>
      <c r="E43" s="18"/>
      <c r="F43" s="20" t="str">
        <f>IFERROR(VLOOKUP($B43,Baza_preturi!$A:$K,9,FALSE),"")</f>
        <v/>
      </c>
      <c r="G43" s="20" t="str">
        <f t="shared" si="1"/>
        <v/>
      </c>
      <c r="H43" s="19" t="str">
        <f>IF($B43="","",IFERROR(IF(VLOOKUP($B43,Baza_preturi!$A:$A,1,FALSE)=$B43,"OK","VERIFICĂ"),"COD NU EXISTĂ"))</f>
        <v/>
      </c>
    </row>
    <row r="44" spans="1:8">
      <c r="A44" s="17" t="s">
        <v>20</v>
      </c>
      <c r="B44" s="18"/>
      <c r="C44" s="10" t="str">
        <f>IFERROR(VLOOKUP($B44,Baza_preturi!$A:$K,3,FALSE),"")</f>
        <v/>
      </c>
      <c r="D44" s="19" t="str">
        <f>IFERROR(VLOOKUP($B44,Baza_preturi!$A:$K,6,FALSE),"")</f>
        <v/>
      </c>
      <c r="E44" s="18"/>
      <c r="F44" s="20" t="str">
        <f>IFERROR(VLOOKUP($B44,Baza_preturi!$A:$K,9,FALSE),"")</f>
        <v/>
      </c>
      <c r="G44" s="20" t="str">
        <f t="shared" si="1"/>
        <v/>
      </c>
      <c r="H44" s="19" t="str">
        <f>IF($B44="","",IFERROR(IF(VLOOKUP($B44,Baza_preturi!$A:$A,1,FALSE)=$B44,"OK","VERIFICĂ"),"COD NU EXISTĂ"))</f>
        <v/>
      </c>
    </row>
    <row r="45" spans="1:8">
      <c r="A45" s="17" t="s">
        <v>20</v>
      </c>
      <c r="B45" s="18"/>
      <c r="C45" s="10" t="str">
        <f>IFERROR(VLOOKUP($B45,Baza_preturi!$A:$K,3,FALSE),"")</f>
        <v/>
      </c>
      <c r="D45" s="19" t="str">
        <f>IFERROR(VLOOKUP($B45,Baza_preturi!$A:$K,6,FALSE),"")</f>
        <v/>
      </c>
      <c r="E45" s="18"/>
      <c r="F45" s="20" t="str">
        <f>IFERROR(VLOOKUP($B45,Baza_preturi!$A:$K,9,FALSE),"")</f>
        <v/>
      </c>
      <c r="G45" s="20" t="str">
        <f t="shared" si="1"/>
        <v/>
      </c>
      <c r="H45" s="19" t="str">
        <f>IF($B45="","",IFERROR(IF(VLOOKUP($B45,Baza_preturi!$A:$A,1,FALSE)=$B45,"OK","VERIFICĂ"),"COD NU EXISTĂ"))</f>
        <v/>
      </c>
    </row>
    <row r="46" spans="1:8">
      <c r="A46" s="17" t="s">
        <v>20</v>
      </c>
      <c r="B46" s="18"/>
      <c r="C46" s="10" t="str">
        <f>IFERROR(VLOOKUP($B46,Baza_preturi!$A:$K,3,FALSE),"")</f>
        <v/>
      </c>
      <c r="D46" s="19" t="str">
        <f>IFERROR(VLOOKUP($B46,Baza_preturi!$A:$K,6,FALSE),"")</f>
        <v/>
      </c>
      <c r="E46" s="18"/>
      <c r="F46" s="20" t="str">
        <f>IFERROR(VLOOKUP($B46,Baza_preturi!$A:$K,9,FALSE),"")</f>
        <v/>
      </c>
      <c r="G46" s="20" t="str">
        <f t="shared" si="1"/>
        <v/>
      </c>
      <c r="H46" s="19" t="str">
        <f>IF($B46="","",IFERROR(IF(VLOOKUP($B46,Baza_preturi!$A:$A,1,FALSE)=$B46,"OK","VERIFICĂ"),"COD NU EXISTĂ"))</f>
        <v/>
      </c>
    </row>
    <row r="47" spans="1:8">
      <c r="A47" s="17" t="s">
        <v>20</v>
      </c>
      <c r="B47" s="18"/>
      <c r="C47" s="10" t="str">
        <f>IFERROR(VLOOKUP($B47,Baza_preturi!$A:$K,3,FALSE),"")</f>
        <v/>
      </c>
      <c r="D47" s="19" t="str">
        <f>IFERROR(VLOOKUP($B47,Baza_preturi!$A:$K,6,FALSE),"")</f>
        <v/>
      </c>
      <c r="E47" s="18"/>
      <c r="F47" s="20" t="str">
        <f>IFERROR(VLOOKUP($B47,Baza_preturi!$A:$K,9,FALSE),"")</f>
        <v/>
      </c>
      <c r="G47" s="20" t="str">
        <f t="shared" si="1"/>
        <v/>
      </c>
      <c r="H47" s="19" t="str">
        <f>IF($B47="","",IFERROR(IF(VLOOKUP($B47,Baza_preturi!$A:$A,1,FALSE)=$B47,"OK","VERIFICĂ"),"COD NU EXISTĂ"))</f>
        <v/>
      </c>
    </row>
    <row r="48" spans="1:8">
      <c r="A48" s="17" t="s">
        <v>20</v>
      </c>
      <c r="B48" s="18"/>
      <c r="C48" s="10" t="str">
        <f>IFERROR(VLOOKUP($B48,Baza_preturi!$A:$K,3,FALSE),"")</f>
        <v/>
      </c>
      <c r="D48" s="19" t="str">
        <f>IFERROR(VLOOKUP($B48,Baza_preturi!$A:$K,6,FALSE),"")</f>
        <v/>
      </c>
      <c r="E48" s="18"/>
      <c r="F48" s="20" t="str">
        <f>IFERROR(VLOOKUP($B48,Baza_preturi!$A:$K,9,FALSE),"")</f>
        <v/>
      </c>
      <c r="G48" s="20" t="str">
        <f t="shared" si="1"/>
        <v/>
      </c>
      <c r="H48" s="19" t="str">
        <f>IF($B48="","",IFERROR(IF(VLOOKUP($B48,Baza_preturi!$A:$A,1,FALSE)=$B48,"OK","VERIFICĂ"),"COD NU EXISTĂ"))</f>
        <v/>
      </c>
    </row>
    <row r="49" spans="1:8">
      <c r="A49" s="17" t="s">
        <v>20</v>
      </c>
      <c r="B49" s="18"/>
      <c r="C49" s="10" t="str">
        <f>IFERROR(VLOOKUP($B49,Baza_preturi!$A:$K,3,FALSE),"")</f>
        <v/>
      </c>
      <c r="D49" s="19" t="str">
        <f>IFERROR(VLOOKUP($B49,Baza_preturi!$A:$K,6,FALSE),"")</f>
        <v/>
      </c>
      <c r="E49" s="18"/>
      <c r="F49" s="20" t="str">
        <f>IFERROR(VLOOKUP($B49,Baza_preturi!$A:$K,9,FALSE),"")</f>
        <v/>
      </c>
      <c r="G49" s="20" t="str">
        <f t="shared" si="1"/>
        <v/>
      </c>
      <c r="H49" s="19" t="str">
        <f>IF($B49="","",IFERROR(IF(VLOOKUP($B49,Baza_preturi!$A:$A,1,FALSE)=$B49,"OK","VERIFICĂ"),"COD NU EXISTĂ"))</f>
        <v/>
      </c>
    </row>
    <row r="50" spans="1:8">
      <c r="A50" s="17" t="s">
        <v>20</v>
      </c>
      <c r="B50" s="18"/>
      <c r="C50" s="10" t="str">
        <f>IFERROR(VLOOKUP($B50,Baza_preturi!$A:$K,3,FALSE),"")</f>
        <v/>
      </c>
      <c r="D50" s="19" t="str">
        <f>IFERROR(VLOOKUP($B50,Baza_preturi!$A:$K,6,FALSE),"")</f>
        <v/>
      </c>
      <c r="E50" s="18"/>
      <c r="F50" s="20" t="str">
        <f>IFERROR(VLOOKUP($B50,Baza_preturi!$A:$K,9,FALSE),"")</f>
        <v/>
      </c>
      <c r="G50" s="20" t="str">
        <f t="shared" si="1"/>
        <v/>
      </c>
      <c r="H50" s="19" t="str">
        <f>IF($B50="","",IFERROR(IF(VLOOKUP($B50,Baza_preturi!$A:$A,1,FALSE)=$B50,"OK","VERIFICĂ"),"COD NU EXISTĂ"))</f>
        <v/>
      </c>
    </row>
    <row r="51" spans="1:8">
      <c r="A51" s="17" t="s">
        <v>22</v>
      </c>
      <c r="B51" s="18"/>
      <c r="C51" s="10" t="str">
        <f>IFERROR(VLOOKUP($B51,Baza_preturi!$A:$K,3,FALSE),"")</f>
        <v/>
      </c>
      <c r="D51" s="19" t="str">
        <f>IFERROR(VLOOKUP($B51,Baza_preturi!$A:$K,6,FALSE),"")</f>
        <v/>
      </c>
      <c r="E51" s="18"/>
      <c r="F51" s="20" t="str">
        <f>IFERROR(VLOOKUP($B51,Baza_preturi!$A:$K,9,FALSE),"")</f>
        <v/>
      </c>
      <c r="G51" s="20" t="str">
        <f t="shared" si="1"/>
        <v/>
      </c>
      <c r="H51" s="19" t="str">
        <f>IF($B51="","",IFERROR(IF(VLOOKUP($B51,Baza_preturi!$A:$A,1,FALSE)=$B51,"OK","VERIFICĂ"),"COD NU EXISTĂ"))</f>
        <v/>
      </c>
    </row>
    <row r="52" spans="1:8">
      <c r="A52" s="17" t="s">
        <v>22</v>
      </c>
      <c r="B52" s="18"/>
      <c r="C52" s="10" t="str">
        <f>IFERROR(VLOOKUP($B52,Baza_preturi!$A:$K,3,FALSE),"")</f>
        <v/>
      </c>
      <c r="D52" s="19" t="str">
        <f>IFERROR(VLOOKUP($B52,Baza_preturi!$A:$K,6,FALSE),"")</f>
        <v/>
      </c>
      <c r="E52" s="18"/>
      <c r="F52" s="20" t="str">
        <f>IFERROR(VLOOKUP($B52,Baza_preturi!$A:$K,9,FALSE),"")</f>
        <v/>
      </c>
      <c r="G52" s="20" t="str">
        <f t="shared" si="1"/>
        <v/>
      </c>
      <c r="H52" s="19" t="str">
        <f>IF($B52="","",IFERROR(IF(VLOOKUP($B52,Baza_preturi!$A:$A,1,FALSE)=$B52,"OK","VERIFICĂ"),"COD NU EXISTĂ"))</f>
        <v/>
      </c>
    </row>
    <row r="53" spans="1:8">
      <c r="A53" s="17" t="s">
        <v>22</v>
      </c>
      <c r="B53" s="18"/>
      <c r="C53" s="10" t="str">
        <f>IFERROR(VLOOKUP($B53,Baza_preturi!$A:$K,3,FALSE),"")</f>
        <v/>
      </c>
      <c r="D53" s="19" t="str">
        <f>IFERROR(VLOOKUP($B53,Baza_preturi!$A:$K,6,FALSE),"")</f>
        <v/>
      </c>
      <c r="E53" s="18"/>
      <c r="F53" s="20" t="str">
        <f>IFERROR(VLOOKUP($B53,Baza_preturi!$A:$K,9,FALSE),"")</f>
        <v/>
      </c>
      <c r="G53" s="20" t="str">
        <f t="shared" si="1"/>
        <v/>
      </c>
      <c r="H53" s="19" t="str">
        <f>IF($B53="","",IFERROR(IF(VLOOKUP($B53,Baza_preturi!$A:$A,1,FALSE)=$B53,"OK","VERIFICĂ"),"COD NU EXISTĂ"))</f>
        <v/>
      </c>
    </row>
    <row r="54" spans="1:8">
      <c r="A54" s="17" t="s">
        <v>22</v>
      </c>
      <c r="B54" s="18"/>
      <c r="C54" s="10" t="str">
        <f>IFERROR(VLOOKUP($B54,Baza_preturi!$A:$K,3,FALSE),"")</f>
        <v/>
      </c>
      <c r="D54" s="19" t="str">
        <f>IFERROR(VLOOKUP($B54,Baza_preturi!$A:$K,6,FALSE),"")</f>
        <v/>
      </c>
      <c r="E54" s="18"/>
      <c r="F54" s="20" t="str">
        <f>IFERROR(VLOOKUP($B54,Baza_preturi!$A:$K,9,FALSE),"")</f>
        <v/>
      </c>
      <c r="G54" s="20" t="str">
        <f t="shared" si="1"/>
        <v/>
      </c>
      <c r="H54" s="19" t="str">
        <f>IF($B54="","",IFERROR(IF(VLOOKUP($B54,Baza_preturi!$A:$A,1,FALSE)=$B54,"OK","VERIFICĂ"),"COD NU EXISTĂ"))</f>
        <v/>
      </c>
    </row>
    <row r="55" spans="1:8">
      <c r="A55" s="17" t="s">
        <v>22</v>
      </c>
      <c r="B55" s="18"/>
      <c r="C55" s="10" t="str">
        <f>IFERROR(VLOOKUP($B55,Baza_preturi!$A:$K,3,FALSE),"")</f>
        <v/>
      </c>
      <c r="D55" s="19" t="str">
        <f>IFERROR(VLOOKUP($B55,Baza_preturi!$A:$K,6,FALSE),"")</f>
        <v/>
      </c>
      <c r="E55" s="18"/>
      <c r="F55" s="20" t="str">
        <f>IFERROR(VLOOKUP($B55,Baza_preturi!$A:$K,9,FALSE),"")</f>
        <v/>
      </c>
      <c r="G55" s="20" t="str">
        <f t="shared" si="1"/>
        <v/>
      </c>
      <c r="H55" s="19" t="str">
        <f>IF($B55="","",IFERROR(IF(VLOOKUP($B55,Baza_preturi!$A:$A,1,FALSE)=$B55,"OK","VERIFICĂ"),"COD NU EXISTĂ"))</f>
        <v/>
      </c>
    </row>
    <row r="56" spans="1:8">
      <c r="A56" s="17" t="s">
        <v>22</v>
      </c>
      <c r="B56" s="18"/>
      <c r="C56" s="10" t="str">
        <f>IFERROR(VLOOKUP($B56,Baza_preturi!$A:$K,3,FALSE),"")</f>
        <v/>
      </c>
      <c r="D56" s="19" t="str">
        <f>IFERROR(VLOOKUP($B56,Baza_preturi!$A:$K,6,FALSE),"")</f>
        <v/>
      </c>
      <c r="E56" s="18"/>
      <c r="F56" s="20" t="str">
        <f>IFERROR(VLOOKUP($B56,Baza_preturi!$A:$K,9,FALSE),"")</f>
        <v/>
      </c>
      <c r="G56" s="20" t="str">
        <f t="shared" si="1"/>
        <v/>
      </c>
      <c r="H56" s="19" t="str">
        <f>IF($B56="","",IFERROR(IF(VLOOKUP($B56,Baza_preturi!$A:$A,1,FALSE)=$B56,"OK","VERIFICĂ"),"COD NU EXISTĂ"))</f>
        <v/>
      </c>
    </row>
    <row r="57" spans="1:8">
      <c r="A57" s="17" t="s">
        <v>22</v>
      </c>
      <c r="B57" s="18"/>
      <c r="C57" s="10" t="str">
        <f>IFERROR(VLOOKUP($B57,Baza_preturi!$A:$K,3,FALSE),"")</f>
        <v/>
      </c>
      <c r="D57" s="19" t="str">
        <f>IFERROR(VLOOKUP($B57,Baza_preturi!$A:$K,6,FALSE),"")</f>
        <v/>
      </c>
      <c r="E57" s="18"/>
      <c r="F57" s="20" t="str">
        <f>IFERROR(VLOOKUP($B57,Baza_preturi!$A:$K,9,FALSE),"")</f>
        <v/>
      </c>
      <c r="G57" s="20" t="str">
        <f t="shared" si="1"/>
        <v/>
      </c>
      <c r="H57" s="19" t="str">
        <f>IF($B57="","",IFERROR(IF(VLOOKUP($B57,Baza_preturi!$A:$A,1,FALSE)=$B57,"OK","VERIFICĂ"),"COD NU EXISTĂ"))</f>
        <v/>
      </c>
    </row>
    <row r="58" spans="1:8">
      <c r="A58" s="17" t="s">
        <v>22</v>
      </c>
      <c r="B58" s="18"/>
      <c r="C58" s="10" t="str">
        <f>IFERROR(VLOOKUP($B58,Baza_preturi!$A:$K,3,FALSE),"")</f>
        <v/>
      </c>
      <c r="D58" s="19" t="str">
        <f>IFERROR(VLOOKUP($B58,Baza_preturi!$A:$K,6,FALSE),"")</f>
        <v/>
      </c>
      <c r="E58" s="18"/>
      <c r="F58" s="20" t="str">
        <f>IFERROR(VLOOKUP($B58,Baza_preturi!$A:$K,9,FALSE),"")</f>
        <v/>
      </c>
      <c r="G58" s="20" t="str">
        <f t="shared" si="1"/>
        <v/>
      </c>
      <c r="H58" s="19" t="str">
        <f>IF($B58="","",IFERROR(IF(VLOOKUP($B58,Baza_preturi!$A:$A,1,FALSE)=$B58,"OK","VERIFICĂ"),"COD NU EXISTĂ"))</f>
        <v/>
      </c>
    </row>
    <row r="59" spans="1:8">
      <c r="A59" s="17" t="s">
        <v>22</v>
      </c>
      <c r="B59" s="18"/>
      <c r="C59" s="10" t="str">
        <f>IFERROR(VLOOKUP($B59,Baza_preturi!$A:$K,3,FALSE),"")</f>
        <v/>
      </c>
      <c r="D59" s="19" t="str">
        <f>IFERROR(VLOOKUP($B59,Baza_preturi!$A:$K,6,FALSE),"")</f>
        <v/>
      </c>
      <c r="E59" s="18"/>
      <c r="F59" s="20" t="str">
        <f>IFERROR(VLOOKUP($B59,Baza_preturi!$A:$K,9,FALSE),"")</f>
        <v/>
      </c>
      <c r="G59" s="20" t="str">
        <f t="shared" si="1"/>
        <v/>
      </c>
      <c r="H59" s="19" t="str">
        <f>IF($B59="","",IFERROR(IF(VLOOKUP($B59,Baza_preturi!$A:$A,1,FALSE)=$B59,"OK","VERIFICĂ"),"COD NU EXISTĂ"))</f>
        <v/>
      </c>
    </row>
    <row r="60" spans="1:8">
      <c r="A60" s="17" t="s">
        <v>22</v>
      </c>
      <c r="B60" s="18"/>
      <c r="C60" s="10" t="str">
        <f>IFERROR(VLOOKUP($B60,Baza_preturi!$A:$K,3,FALSE),"")</f>
        <v/>
      </c>
      <c r="D60" s="19" t="str">
        <f>IFERROR(VLOOKUP($B60,Baza_preturi!$A:$K,6,FALSE),"")</f>
        <v/>
      </c>
      <c r="E60" s="18"/>
      <c r="F60" s="20" t="str">
        <f>IFERROR(VLOOKUP($B60,Baza_preturi!$A:$K,9,FALSE),"")</f>
        <v/>
      </c>
      <c r="G60" s="20" t="str">
        <f t="shared" si="1"/>
        <v/>
      </c>
      <c r="H60" s="19" t="str">
        <f>IF($B60="","",IFERROR(IF(VLOOKUP($B60,Baza_preturi!$A:$A,1,FALSE)=$B60,"OK","VERIFICĂ"),"COD NU EXISTĂ"))</f>
        <v/>
      </c>
    </row>
    <row r="61" spans="1:8">
      <c r="A61" s="17" t="s">
        <v>22</v>
      </c>
      <c r="B61" s="18"/>
      <c r="C61" s="10" t="str">
        <f>IFERROR(VLOOKUP($B61,Baza_preturi!$A:$K,3,FALSE),"")</f>
        <v/>
      </c>
      <c r="D61" s="19" t="str">
        <f>IFERROR(VLOOKUP($B61,Baza_preturi!$A:$K,6,FALSE),"")</f>
        <v/>
      </c>
      <c r="E61" s="18"/>
      <c r="F61" s="20" t="str">
        <f>IFERROR(VLOOKUP($B61,Baza_preturi!$A:$K,9,FALSE),"")</f>
        <v/>
      </c>
      <c r="G61" s="20" t="str">
        <f t="shared" si="1"/>
        <v/>
      </c>
      <c r="H61" s="19" t="str">
        <f>IF($B61="","",IFERROR(IF(VLOOKUP($B61,Baza_preturi!$A:$A,1,FALSE)=$B61,"OK","VERIFICĂ"),"COD NU EXISTĂ"))</f>
        <v/>
      </c>
    </row>
    <row r="62" spans="1:8">
      <c r="A62" s="17" t="s">
        <v>22</v>
      </c>
      <c r="B62" s="18"/>
      <c r="C62" s="10" t="str">
        <f>IFERROR(VLOOKUP($B62,Baza_preturi!$A:$K,3,FALSE),"")</f>
        <v/>
      </c>
      <c r="D62" s="19" t="str">
        <f>IFERROR(VLOOKUP($B62,Baza_preturi!$A:$K,6,FALSE),"")</f>
        <v/>
      </c>
      <c r="E62" s="18"/>
      <c r="F62" s="20" t="str">
        <f>IFERROR(VLOOKUP($B62,Baza_preturi!$A:$K,9,FALSE),"")</f>
        <v/>
      </c>
      <c r="G62" s="20" t="str">
        <f t="shared" si="1"/>
        <v/>
      </c>
      <c r="H62" s="19" t="str">
        <f>IF($B62="","",IFERROR(IF(VLOOKUP($B62,Baza_preturi!$A:$A,1,FALSE)=$B62,"OK","VERIFICĂ"),"COD NU EXISTĂ"))</f>
        <v/>
      </c>
    </row>
    <row r="63" spans="1:8">
      <c r="A63" s="17" t="s">
        <v>22</v>
      </c>
      <c r="B63" s="18"/>
      <c r="C63" s="10" t="str">
        <f>IFERROR(VLOOKUP($B63,Baza_preturi!$A:$K,3,FALSE),"")</f>
        <v/>
      </c>
      <c r="D63" s="19" t="str">
        <f>IFERROR(VLOOKUP($B63,Baza_preturi!$A:$K,6,FALSE),"")</f>
        <v/>
      </c>
      <c r="E63" s="18"/>
      <c r="F63" s="20" t="str">
        <f>IFERROR(VLOOKUP($B63,Baza_preturi!$A:$K,9,FALSE),"")</f>
        <v/>
      </c>
      <c r="G63" s="20" t="str">
        <f t="shared" si="1"/>
        <v/>
      </c>
      <c r="H63" s="19" t="str">
        <f>IF($B63="","",IFERROR(IF(VLOOKUP($B63,Baza_preturi!$A:$A,1,FALSE)=$B63,"OK","VERIFICĂ"),"COD NU EXISTĂ"))</f>
        <v/>
      </c>
    </row>
    <row r="64" spans="1:8">
      <c r="A64" s="17" t="s">
        <v>22</v>
      </c>
      <c r="B64" s="18"/>
      <c r="C64" s="10" t="str">
        <f>IFERROR(VLOOKUP($B64,Baza_preturi!$A:$K,3,FALSE),"")</f>
        <v/>
      </c>
      <c r="D64" s="19" t="str">
        <f>IFERROR(VLOOKUP($B64,Baza_preturi!$A:$K,6,FALSE),"")</f>
        <v/>
      </c>
      <c r="E64" s="18"/>
      <c r="F64" s="20" t="str">
        <f>IFERROR(VLOOKUP($B64,Baza_preturi!$A:$K,9,FALSE),"")</f>
        <v/>
      </c>
      <c r="G64" s="20" t="str">
        <f t="shared" si="1"/>
        <v/>
      </c>
      <c r="H64" s="19" t="str">
        <f>IF($B64="","",IFERROR(IF(VLOOKUP($B64,Baza_preturi!$A:$A,1,FALSE)=$B64,"OK","VERIFICĂ"),"COD NU EXISTĂ"))</f>
        <v/>
      </c>
    </row>
    <row r="65" spans="1:8">
      <c r="A65" s="17" t="s">
        <v>22</v>
      </c>
      <c r="B65" s="18"/>
      <c r="C65" s="10" t="str">
        <f>IFERROR(VLOOKUP($B65,Baza_preturi!$A:$K,3,FALSE),"")</f>
        <v/>
      </c>
      <c r="D65" s="19" t="str">
        <f>IFERROR(VLOOKUP($B65,Baza_preturi!$A:$K,6,FALSE),"")</f>
        <v/>
      </c>
      <c r="E65" s="18"/>
      <c r="F65" s="20" t="str">
        <f>IFERROR(VLOOKUP($B65,Baza_preturi!$A:$K,9,FALSE),"")</f>
        <v/>
      </c>
      <c r="G65" s="20" t="str">
        <f t="shared" si="1"/>
        <v/>
      </c>
      <c r="H65" s="19" t="str">
        <f>IF($B65="","",IFERROR(IF(VLOOKUP($B65,Baza_preturi!$A:$A,1,FALSE)=$B65,"OK","VERIFICĂ"),"COD NU EXISTĂ"))</f>
        <v/>
      </c>
    </row>
    <row r="66" spans="1:8">
      <c r="A66" s="17" t="s">
        <v>24</v>
      </c>
      <c r="B66" s="18"/>
      <c r="C66" s="10" t="str">
        <f>IFERROR(VLOOKUP($B66,Baza_preturi!$A:$K,3,FALSE),"")</f>
        <v/>
      </c>
      <c r="D66" s="19" t="str">
        <f>IFERROR(VLOOKUP($B66,Baza_preturi!$A:$K,6,FALSE),"")</f>
        <v/>
      </c>
      <c r="E66" s="18"/>
      <c r="F66" s="20" t="str">
        <f>IFERROR(VLOOKUP($B66,Baza_preturi!$A:$K,9,FALSE),"")</f>
        <v/>
      </c>
      <c r="G66" s="20" t="str">
        <f t="shared" si="1"/>
        <v/>
      </c>
      <c r="H66" s="19" t="str">
        <f>IF($B66="","",IFERROR(IF(VLOOKUP($B66,Baza_preturi!$A:$A,1,FALSE)=$B66,"OK","VERIFICĂ"),"COD NU EXISTĂ"))</f>
        <v/>
      </c>
    </row>
    <row r="67" spans="1:8">
      <c r="A67" s="17" t="s">
        <v>24</v>
      </c>
      <c r="B67" s="18"/>
      <c r="C67" s="10" t="str">
        <f>IFERROR(VLOOKUP($B67,Baza_preturi!$A:$K,3,FALSE),"")</f>
        <v/>
      </c>
      <c r="D67" s="19" t="str">
        <f>IFERROR(VLOOKUP($B67,Baza_preturi!$A:$K,6,FALSE),"")</f>
        <v/>
      </c>
      <c r="E67" s="18"/>
      <c r="F67" s="20" t="str">
        <f>IFERROR(VLOOKUP($B67,Baza_preturi!$A:$K,9,FALSE),"")</f>
        <v/>
      </c>
      <c r="G67" s="20" t="str">
        <f t="shared" si="1"/>
        <v/>
      </c>
      <c r="H67" s="19" t="str">
        <f>IF($B67="","",IFERROR(IF(VLOOKUP($B67,Baza_preturi!$A:$A,1,FALSE)=$B67,"OK","VERIFICĂ"),"COD NU EXISTĂ"))</f>
        <v/>
      </c>
    </row>
    <row r="68" spans="1:8">
      <c r="A68" s="17" t="s">
        <v>24</v>
      </c>
      <c r="B68" s="18"/>
      <c r="C68" s="10" t="str">
        <f>IFERROR(VLOOKUP($B68,Baza_preturi!$A:$K,3,FALSE),"")</f>
        <v/>
      </c>
      <c r="D68" s="19" t="str">
        <f>IFERROR(VLOOKUP($B68,Baza_preturi!$A:$K,6,FALSE),"")</f>
        <v/>
      </c>
      <c r="E68" s="18"/>
      <c r="F68" s="20" t="str">
        <f>IFERROR(VLOOKUP($B68,Baza_preturi!$A:$K,9,FALSE),"")</f>
        <v/>
      </c>
      <c r="G68" s="20" t="str">
        <f t="shared" si="1"/>
        <v/>
      </c>
      <c r="H68" s="19" t="str">
        <f>IF($B68="","",IFERROR(IF(VLOOKUP($B68,Baza_preturi!$A:$A,1,FALSE)=$B68,"OK","VERIFICĂ"),"COD NU EXISTĂ"))</f>
        <v/>
      </c>
    </row>
    <row r="69" spans="1:8">
      <c r="A69" s="17" t="s">
        <v>24</v>
      </c>
      <c r="B69" s="18"/>
      <c r="C69" s="10" t="str">
        <f>IFERROR(VLOOKUP($B69,Baza_preturi!$A:$K,3,FALSE),"")</f>
        <v/>
      </c>
      <c r="D69" s="19" t="str">
        <f>IFERROR(VLOOKUP($B69,Baza_preturi!$A:$K,6,FALSE),"")</f>
        <v/>
      </c>
      <c r="E69" s="18"/>
      <c r="F69" s="20" t="str">
        <f>IFERROR(VLOOKUP($B69,Baza_preturi!$A:$K,9,FALSE),"")</f>
        <v/>
      </c>
      <c r="G69" s="20" t="str">
        <f t="shared" si="1"/>
        <v/>
      </c>
      <c r="H69" s="19" t="str">
        <f>IF($B69="","",IFERROR(IF(VLOOKUP($B69,Baza_preturi!$A:$A,1,FALSE)=$B69,"OK","VERIFICĂ"),"COD NU EXISTĂ"))</f>
        <v/>
      </c>
    </row>
    <row r="70" spans="1:8">
      <c r="A70" s="17" t="s">
        <v>24</v>
      </c>
      <c r="B70" s="18"/>
      <c r="C70" s="10" t="str">
        <f>IFERROR(VLOOKUP($B70,Baza_preturi!$A:$K,3,FALSE),"")</f>
        <v/>
      </c>
      <c r="D70" s="19" t="str">
        <f>IFERROR(VLOOKUP($B70,Baza_preturi!$A:$K,6,FALSE),"")</f>
        <v/>
      </c>
      <c r="E70" s="18"/>
      <c r="F70" s="20" t="str">
        <f>IFERROR(VLOOKUP($B70,Baza_preturi!$A:$K,9,FALSE),"")</f>
        <v/>
      </c>
      <c r="G70" s="20" t="str">
        <f t="shared" ref="G70:G95" si="2">IF(OR($E70="", $F70=""),"", $E70*$F70)</f>
        <v/>
      </c>
      <c r="H70" s="19" t="str">
        <f>IF($B70="","",IFERROR(IF(VLOOKUP($B70,Baza_preturi!$A:$A,1,FALSE)=$B70,"OK","VERIFICĂ"),"COD NU EXISTĂ"))</f>
        <v/>
      </c>
    </row>
    <row r="71" spans="1:8">
      <c r="A71" s="17" t="s">
        <v>24</v>
      </c>
      <c r="B71" s="18"/>
      <c r="C71" s="10" t="str">
        <f>IFERROR(VLOOKUP($B71,Baza_preturi!$A:$K,3,FALSE),"")</f>
        <v/>
      </c>
      <c r="D71" s="19" t="str">
        <f>IFERROR(VLOOKUP($B71,Baza_preturi!$A:$K,6,FALSE),"")</f>
        <v/>
      </c>
      <c r="E71" s="18"/>
      <c r="F71" s="20" t="str">
        <f>IFERROR(VLOOKUP($B71,Baza_preturi!$A:$K,9,FALSE),"")</f>
        <v/>
      </c>
      <c r="G71" s="20" t="str">
        <f t="shared" si="2"/>
        <v/>
      </c>
      <c r="H71" s="19" t="str">
        <f>IF($B71="","",IFERROR(IF(VLOOKUP($B71,Baza_preturi!$A:$A,1,FALSE)=$B71,"OK","VERIFICĂ"),"COD NU EXISTĂ"))</f>
        <v/>
      </c>
    </row>
    <row r="72" spans="1:8">
      <c r="A72" s="17" t="s">
        <v>24</v>
      </c>
      <c r="B72" s="18"/>
      <c r="C72" s="10" t="str">
        <f>IFERROR(VLOOKUP($B72,Baza_preturi!$A:$K,3,FALSE),"")</f>
        <v/>
      </c>
      <c r="D72" s="19" t="str">
        <f>IFERROR(VLOOKUP($B72,Baza_preturi!$A:$K,6,FALSE),"")</f>
        <v/>
      </c>
      <c r="E72" s="18"/>
      <c r="F72" s="20" t="str">
        <f>IFERROR(VLOOKUP($B72,Baza_preturi!$A:$K,9,FALSE),"")</f>
        <v/>
      </c>
      <c r="G72" s="20" t="str">
        <f t="shared" si="2"/>
        <v/>
      </c>
      <c r="H72" s="19" t="str">
        <f>IF($B72="","",IFERROR(IF(VLOOKUP($B72,Baza_preturi!$A:$A,1,FALSE)=$B72,"OK","VERIFICĂ"),"COD NU EXISTĂ"))</f>
        <v/>
      </c>
    </row>
    <row r="73" spans="1:8">
      <c r="A73" s="17" t="s">
        <v>24</v>
      </c>
      <c r="B73" s="18"/>
      <c r="C73" s="10" t="str">
        <f>IFERROR(VLOOKUP($B73,Baza_preturi!$A:$K,3,FALSE),"")</f>
        <v/>
      </c>
      <c r="D73" s="19" t="str">
        <f>IFERROR(VLOOKUP($B73,Baza_preturi!$A:$K,6,FALSE),"")</f>
        <v/>
      </c>
      <c r="E73" s="18"/>
      <c r="F73" s="20" t="str">
        <f>IFERROR(VLOOKUP($B73,Baza_preturi!$A:$K,9,FALSE),"")</f>
        <v/>
      </c>
      <c r="G73" s="20" t="str">
        <f t="shared" si="2"/>
        <v/>
      </c>
      <c r="H73" s="19" t="str">
        <f>IF($B73="","",IFERROR(IF(VLOOKUP($B73,Baza_preturi!$A:$A,1,FALSE)=$B73,"OK","VERIFICĂ"),"COD NU EXISTĂ"))</f>
        <v/>
      </c>
    </row>
    <row r="74" spans="1:8">
      <c r="A74" s="17" t="s">
        <v>24</v>
      </c>
      <c r="B74" s="18"/>
      <c r="C74" s="10" t="str">
        <f>IFERROR(VLOOKUP($B74,Baza_preturi!$A:$K,3,FALSE),"")</f>
        <v/>
      </c>
      <c r="D74" s="19" t="str">
        <f>IFERROR(VLOOKUP($B74,Baza_preturi!$A:$K,6,FALSE),"")</f>
        <v/>
      </c>
      <c r="E74" s="18"/>
      <c r="F74" s="20" t="str">
        <f>IFERROR(VLOOKUP($B74,Baza_preturi!$A:$K,9,FALSE),"")</f>
        <v/>
      </c>
      <c r="G74" s="20" t="str">
        <f t="shared" si="2"/>
        <v/>
      </c>
      <c r="H74" s="19" t="str">
        <f>IF($B74="","",IFERROR(IF(VLOOKUP($B74,Baza_preturi!$A:$A,1,FALSE)=$B74,"OK","VERIFICĂ"),"COD NU EXISTĂ"))</f>
        <v/>
      </c>
    </row>
    <row r="75" spans="1:8">
      <c r="A75" s="17" t="s">
        <v>24</v>
      </c>
      <c r="B75" s="18"/>
      <c r="C75" s="10" t="str">
        <f>IFERROR(VLOOKUP($B75,Baza_preturi!$A:$K,3,FALSE),"")</f>
        <v/>
      </c>
      <c r="D75" s="19" t="str">
        <f>IFERROR(VLOOKUP($B75,Baza_preturi!$A:$K,6,FALSE),"")</f>
        <v/>
      </c>
      <c r="E75" s="18"/>
      <c r="F75" s="20" t="str">
        <f>IFERROR(VLOOKUP($B75,Baza_preturi!$A:$K,9,FALSE),"")</f>
        <v/>
      </c>
      <c r="G75" s="20" t="str">
        <f t="shared" si="2"/>
        <v/>
      </c>
      <c r="H75" s="19" t="str">
        <f>IF($B75="","",IFERROR(IF(VLOOKUP($B75,Baza_preturi!$A:$A,1,FALSE)=$B75,"OK","VERIFICĂ"),"COD NU EXISTĂ"))</f>
        <v/>
      </c>
    </row>
    <row r="76" spans="1:8">
      <c r="A76" s="17" t="s">
        <v>24</v>
      </c>
      <c r="B76" s="18"/>
      <c r="C76" s="10" t="str">
        <f>IFERROR(VLOOKUP($B76,Baza_preturi!$A:$K,3,FALSE),"")</f>
        <v/>
      </c>
      <c r="D76" s="19" t="str">
        <f>IFERROR(VLOOKUP($B76,Baza_preturi!$A:$K,6,FALSE),"")</f>
        <v/>
      </c>
      <c r="E76" s="18"/>
      <c r="F76" s="20" t="str">
        <f>IFERROR(VLOOKUP($B76,Baza_preturi!$A:$K,9,FALSE),"")</f>
        <v/>
      </c>
      <c r="G76" s="20" t="str">
        <f t="shared" si="2"/>
        <v/>
      </c>
      <c r="H76" s="19" t="str">
        <f>IF($B76="","",IFERROR(IF(VLOOKUP($B76,Baza_preturi!$A:$A,1,FALSE)=$B76,"OK","VERIFICĂ"),"COD NU EXISTĂ"))</f>
        <v/>
      </c>
    </row>
    <row r="77" spans="1:8">
      <c r="A77" s="17" t="s">
        <v>24</v>
      </c>
      <c r="B77" s="18"/>
      <c r="C77" s="10" t="str">
        <f>IFERROR(VLOOKUP($B77,Baza_preturi!$A:$K,3,FALSE),"")</f>
        <v/>
      </c>
      <c r="D77" s="19" t="str">
        <f>IFERROR(VLOOKUP($B77,Baza_preturi!$A:$K,6,FALSE),"")</f>
        <v/>
      </c>
      <c r="E77" s="18"/>
      <c r="F77" s="20" t="str">
        <f>IFERROR(VLOOKUP($B77,Baza_preturi!$A:$K,9,FALSE),"")</f>
        <v/>
      </c>
      <c r="G77" s="20" t="str">
        <f t="shared" si="2"/>
        <v/>
      </c>
      <c r="H77" s="19" t="str">
        <f>IF($B77="","",IFERROR(IF(VLOOKUP($B77,Baza_preturi!$A:$A,1,FALSE)=$B77,"OK","VERIFICĂ"),"COD NU EXISTĂ"))</f>
        <v/>
      </c>
    </row>
    <row r="78" spans="1:8">
      <c r="A78" s="17" t="s">
        <v>24</v>
      </c>
      <c r="B78" s="18"/>
      <c r="C78" s="10" t="str">
        <f>IFERROR(VLOOKUP($B78,Baza_preturi!$A:$K,3,FALSE),"")</f>
        <v/>
      </c>
      <c r="D78" s="19" t="str">
        <f>IFERROR(VLOOKUP($B78,Baza_preturi!$A:$K,6,FALSE),"")</f>
        <v/>
      </c>
      <c r="E78" s="18"/>
      <c r="F78" s="20" t="str">
        <f>IFERROR(VLOOKUP($B78,Baza_preturi!$A:$K,9,FALSE),"")</f>
        <v/>
      </c>
      <c r="G78" s="20" t="str">
        <f t="shared" si="2"/>
        <v/>
      </c>
      <c r="H78" s="19" t="str">
        <f>IF($B78="","",IFERROR(IF(VLOOKUP($B78,Baza_preturi!$A:$A,1,FALSE)=$B78,"OK","VERIFICĂ"),"COD NU EXISTĂ"))</f>
        <v/>
      </c>
    </row>
    <row r="79" spans="1:8">
      <c r="A79" s="17" t="s">
        <v>24</v>
      </c>
      <c r="B79" s="18"/>
      <c r="C79" s="10" t="str">
        <f>IFERROR(VLOOKUP($B79,Baza_preturi!$A:$K,3,FALSE),"")</f>
        <v/>
      </c>
      <c r="D79" s="19" t="str">
        <f>IFERROR(VLOOKUP($B79,Baza_preturi!$A:$K,6,FALSE),"")</f>
        <v/>
      </c>
      <c r="E79" s="18"/>
      <c r="F79" s="20" t="str">
        <f>IFERROR(VLOOKUP($B79,Baza_preturi!$A:$K,9,FALSE),"")</f>
        <v/>
      </c>
      <c r="G79" s="20" t="str">
        <f t="shared" si="2"/>
        <v/>
      </c>
      <c r="H79" s="19" t="str">
        <f>IF($B79="","",IFERROR(IF(VLOOKUP($B79,Baza_preturi!$A:$A,1,FALSE)=$B79,"OK","VERIFICĂ"),"COD NU EXISTĂ"))</f>
        <v/>
      </c>
    </row>
    <row r="80" spans="1:8">
      <c r="A80" s="17" t="s">
        <v>24</v>
      </c>
      <c r="B80" s="18"/>
      <c r="C80" s="10" t="str">
        <f>IFERROR(VLOOKUP($B80,Baza_preturi!$A:$K,3,FALSE),"")</f>
        <v/>
      </c>
      <c r="D80" s="19" t="str">
        <f>IFERROR(VLOOKUP($B80,Baza_preturi!$A:$K,6,FALSE),"")</f>
        <v/>
      </c>
      <c r="E80" s="18"/>
      <c r="F80" s="20" t="str">
        <f>IFERROR(VLOOKUP($B80,Baza_preturi!$A:$K,9,FALSE),"")</f>
        <v/>
      </c>
      <c r="G80" s="20" t="str">
        <f t="shared" si="2"/>
        <v/>
      </c>
      <c r="H80" s="19" t="str">
        <f>IF($B80="","",IFERROR(IF(VLOOKUP($B80,Baza_preturi!$A:$A,1,FALSE)=$B80,"OK","VERIFICĂ"),"COD NU EXISTĂ"))</f>
        <v/>
      </c>
    </row>
    <row r="81" spans="1:8">
      <c r="A81" s="17" t="s">
        <v>26</v>
      </c>
      <c r="B81" s="18"/>
      <c r="C81" s="10" t="str">
        <f>IFERROR(VLOOKUP($B81,Baza_preturi!$A:$K,3,FALSE),"")</f>
        <v/>
      </c>
      <c r="D81" s="19" t="str">
        <f>IFERROR(VLOOKUP($B81,Baza_preturi!$A:$K,6,FALSE),"")</f>
        <v/>
      </c>
      <c r="E81" s="18"/>
      <c r="F81" s="20" t="str">
        <f>IFERROR(VLOOKUP($B81,Baza_preturi!$A:$K,9,FALSE),"")</f>
        <v/>
      </c>
      <c r="G81" s="20" t="str">
        <f t="shared" si="2"/>
        <v/>
      </c>
      <c r="H81" s="19" t="str">
        <f>IF($B81="","",IFERROR(IF(VLOOKUP($B81,Baza_preturi!$A:$A,1,FALSE)=$B81,"OK","VERIFICĂ"),"COD NU EXISTĂ"))</f>
        <v/>
      </c>
    </row>
    <row r="82" spans="1:8">
      <c r="A82" s="17" t="s">
        <v>26</v>
      </c>
      <c r="B82" s="18"/>
      <c r="C82" s="10" t="str">
        <f>IFERROR(VLOOKUP($B82,Baza_preturi!$A:$K,3,FALSE),"")</f>
        <v/>
      </c>
      <c r="D82" s="19" t="str">
        <f>IFERROR(VLOOKUP($B82,Baza_preturi!$A:$K,6,FALSE),"")</f>
        <v/>
      </c>
      <c r="E82" s="18"/>
      <c r="F82" s="20" t="str">
        <f>IFERROR(VLOOKUP($B82,Baza_preturi!$A:$K,9,FALSE),"")</f>
        <v/>
      </c>
      <c r="G82" s="20" t="str">
        <f t="shared" si="2"/>
        <v/>
      </c>
      <c r="H82" s="19" t="str">
        <f>IF($B82="","",IFERROR(IF(VLOOKUP($B82,Baza_preturi!$A:$A,1,FALSE)=$B82,"OK","VERIFICĂ"),"COD NU EXISTĂ"))</f>
        <v/>
      </c>
    </row>
    <row r="83" spans="1:8">
      <c r="A83" s="17" t="s">
        <v>26</v>
      </c>
      <c r="B83" s="18"/>
      <c r="C83" s="10" t="str">
        <f>IFERROR(VLOOKUP($B83,Baza_preturi!$A:$K,3,FALSE),"")</f>
        <v/>
      </c>
      <c r="D83" s="19" t="str">
        <f>IFERROR(VLOOKUP($B83,Baza_preturi!$A:$K,6,FALSE),"")</f>
        <v/>
      </c>
      <c r="E83" s="18"/>
      <c r="F83" s="20" t="str">
        <f>IFERROR(VLOOKUP($B83,Baza_preturi!$A:$K,9,FALSE),"")</f>
        <v/>
      </c>
      <c r="G83" s="20" t="str">
        <f t="shared" si="2"/>
        <v/>
      </c>
      <c r="H83" s="19" t="str">
        <f>IF($B83="","",IFERROR(IF(VLOOKUP($B83,Baza_preturi!$A:$A,1,FALSE)=$B83,"OK","VERIFICĂ"),"COD NU EXISTĂ"))</f>
        <v/>
      </c>
    </row>
    <row r="84" spans="1:8">
      <c r="A84" s="17" t="s">
        <v>26</v>
      </c>
      <c r="B84" s="18"/>
      <c r="C84" s="10" t="str">
        <f>IFERROR(VLOOKUP($B84,Baza_preturi!$A:$K,3,FALSE),"")</f>
        <v/>
      </c>
      <c r="D84" s="19" t="str">
        <f>IFERROR(VLOOKUP($B84,Baza_preturi!$A:$K,6,FALSE),"")</f>
        <v/>
      </c>
      <c r="E84" s="18"/>
      <c r="F84" s="20" t="str">
        <f>IFERROR(VLOOKUP($B84,Baza_preturi!$A:$K,9,FALSE),"")</f>
        <v/>
      </c>
      <c r="G84" s="20" t="str">
        <f t="shared" si="2"/>
        <v/>
      </c>
      <c r="H84" s="19" t="str">
        <f>IF($B84="","",IFERROR(IF(VLOOKUP($B84,Baza_preturi!$A:$A,1,FALSE)=$B84,"OK","VERIFICĂ"),"COD NU EXISTĂ"))</f>
        <v/>
      </c>
    </row>
    <row r="85" spans="1:8">
      <c r="A85" s="17" t="s">
        <v>26</v>
      </c>
      <c r="B85" s="18"/>
      <c r="C85" s="10" t="str">
        <f>IFERROR(VLOOKUP($B85,Baza_preturi!$A:$K,3,FALSE),"")</f>
        <v/>
      </c>
      <c r="D85" s="19" t="str">
        <f>IFERROR(VLOOKUP($B85,Baza_preturi!$A:$K,6,FALSE),"")</f>
        <v/>
      </c>
      <c r="E85" s="18"/>
      <c r="F85" s="20" t="str">
        <f>IFERROR(VLOOKUP($B85,Baza_preturi!$A:$K,9,FALSE),"")</f>
        <v/>
      </c>
      <c r="G85" s="20" t="str">
        <f t="shared" si="2"/>
        <v/>
      </c>
      <c r="H85" s="19" t="str">
        <f>IF($B85="","",IFERROR(IF(VLOOKUP($B85,Baza_preturi!$A:$A,1,FALSE)=$B85,"OK","VERIFICĂ"),"COD NU EXISTĂ"))</f>
        <v/>
      </c>
    </row>
    <row r="86" spans="1:8">
      <c r="A86" s="17" t="s">
        <v>26</v>
      </c>
      <c r="B86" s="18"/>
      <c r="C86" s="10" t="str">
        <f>IFERROR(VLOOKUP($B86,Baza_preturi!$A:$K,3,FALSE),"")</f>
        <v/>
      </c>
      <c r="D86" s="19" t="str">
        <f>IFERROR(VLOOKUP($B86,Baza_preturi!$A:$K,6,FALSE),"")</f>
        <v/>
      </c>
      <c r="E86" s="18"/>
      <c r="F86" s="20" t="str">
        <f>IFERROR(VLOOKUP($B86,Baza_preturi!$A:$K,9,FALSE),"")</f>
        <v/>
      </c>
      <c r="G86" s="20" t="str">
        <f t="shared" si="2"/>
        <v/>
      </c>
      <c r="H86" s="19" t="str">
        <f>IF($B86="","",IFERROR(IF(VLOOKUP($B86,Baza_preturi!$A:$A,1,FALSE)=$B86,"OK","VERIFICĂ"),"COD NU EXISTĂ"))</f>
        <v/>
      </c>
    </row>
    <row r="87" spans="1:8">
      <c r="A87" s="17" t="s">
        <v>26</v>
      </c>
      <c r="B87" s="18"/>
      <c r="C87" s="10" t="str">
        <f>IFERROR(VLOOKUP($B87,Baza_preturi!$A:$K,3,FALSE),"")</f>
        <v/>
      </c>
      <c r="D87" s="19" t="str">
        <f>IFERROR(VLOOKUP($B87,Baza_preturi!$A:$K,6,FALSE),"")</f>
        <v/>
      </c>
      <c r="E87" s="18"/>
      <c r="F87" s="20" t="str">
        <f>IFERROR(VLOOKUP($B87,Baza_preturi!$A:$K,9,FALSE),"")</f>
        <v/>
      </c>
      <c r="G87" s="20" t="str">
        <f t="shared" si="2"/>
        <v/>
      </c>
      <c r="H87" s="19" t="str">
        <f>IF($B87="","",IFERROR(IF(VLOOKUP($B87,Baza_preturi!$A:$A,1,FALSE)=$B87,"OK","VERIFICĂ"),"COD NU EXISTĂ"))</f>
        <v/>
      </c>
    </row>
    <row r="88" spans="1:8">
      <c r="A88" s="17" t="s">
        <v>26</v>
      </c>
      <c r="B88" s="18"/>
      <c r="C88" s="10" t="str">
        <f>IFERROR(VLOOKUP($B88,Baza_preturi!$A:$K,3,FALSE),"")</f>
        <v/>
      </c>
      <c r="D88" s="19" t="str">
        <f>IFERROR(VLOOKUP($B88,Baza_preturi!$A:$K,6,FALSE),"")</f>
        <v/>
      </c>
      <c r="E88" s="18"/>
      <c r="F88" s="20" t="str">
        <f>IFERROR(VLOOKUP($B88,Baza_preturi!$A:$K,9,FALSE),"")</f>
        <v/>
      </c>
      <c r="G88" s="20" t="str">
        <f t="shared" si="2"/>
        <v/>
      </c>
      <c r="H88" s="19" t="str">
        <f>IF($B88="","",IFERROR(IF(VLOOKUP($B88,Baza_preturi!$A:$A,1,FALSE)=$B88,"OK","VERIFICĂ"),"COD NU EXISTĂ"))</f>
        <v/>
      </c>
    </row>
    <row r="89" spans="1:8">
      <c r="A89" s="17" t="s">
        <v>26</v>
      </c>
      <c r="B89" s="18"/>
      <c r="C89" s="10" t="str">
        <f>IFERROR(VLOOKUP($B89,Baza_preturi!$A:$K,3,FALSE),"")</f>
        <v/>
      </c>
      <c r="D89" s="19" t="str">
        <f>IFERROR(VLOOKUP($B89,Baza_preturi!$A:$K,6,FALSE),"")</f>
        <v/>
      </c>
      <c r="E89" s="18"/>
      <c r="F89" s="20" t="str">
        <f>IFERROR(VLOOKUP($B89,Baza_preturi!$A:$K,9,FALSE),"")</f>
        <v/>
      </c>
      <c r="G89" s="20" t="str">
        <f t="shared" si="2"/>
        <v/>
      </c>
      <c r="H89" s="19" t="str">
        <f>IF($B89="","",IFERROR(IF(VLOOKUP($B89,Baza_preturi!$A:$A,1,FALSE)=$B89,"OK","VERIFICĂ"),"COD NU EXISTĂ"))</f>
        <v/>
      </c>
    </row>
    <row r="90" spans="1:8">
      <c r="A90" s="17" t="s">
        <v>26</v>
      </c>
      <c r="B90" s="18"/>
      <c r="C90" s="10" t="str">
        <f>IFERROR(VLOOKUP($B90,Baza_preturi!$A:$K,3,FALSE),"")</f>
        <v/>
      </c>
      <c r="D90" s="19" t="str">
        <f>IFERROR(VLOOKUP($B90,Baza_preturi!$A:$K,6,FALSE),"")</f>
        <v/>
      </c>
      <c r="E90" s="18"/>
      <c r="F90" s="20" t="str">
        <f>IFERROR(VLOOKUP($B90,Baza_preturi!$A:$K,9,FALSE),"")</f>
        <v/>
      </c>
      <c r="G90" s="20" t="str">
        <f t="shared" si="2"/>
        <v/>
      </c>
      <c r="H90" s="19" t="str">
        <f>IF($B90="","",IFERROR(IF(VLOOKUP($B90,Baza_preturi!$A:$A,1,FALSE)=$B90,"OK","VERIFICĂ"),"COD NU EXISTĂ"))</f>
        <v/>
      </c>
    </row>
    <row r="91" spans="1:8">
      <c r="A91" s="17" t="s">
        <v>26</v>
      </c>
      <c r="B91" s="18"/>
      <c r="C91" s="10" t="str">
        <f>IFERROR(VLOOKUP($B91,Baza_preturi!$A:$K,3,FALSE),"")</f>
        <v/>
      </c>
      <c r="D91" s="19" t="str">
        <f>IFERROR(VLOOKUP($B91,Baza_preturi!$A:$K,6,FALSE),"")</f>
        <v/>
      </c>
      <c r="E91" s="18"/>
      <c r="F91" s="20" t="str">
        <f>IFERROR(VLOOKUP($B91,Baza_preturi!$A:$K,9,FALSE),"")</f>
        <v/>
      </c>
      <c r="G91" s="20" t="str">
        <f t="shared" si="2"/>
        <v/>
      </c>
      <c r="H91" s="19" t="str">
        <f>IF($B91="","",IFERROR(IF(VLOOKUP($B91,Baza_preturi!$A:$A,1,FALSE)=$B91,"OK","VERIFICĂ"),"COD NU EXISTĂ"))</f>
        <v/>
      </c>
    </row>
    <row r="92" spans="1:8">
      <c r="A92" s="17" t="s">
        <v>26</v>
      </c>
      <c r="B92" s="18"/>
      <c r="C92" s="10" t="str">
        <f>IFERROR(VLOOKUP($B92,Baza_preturi!$A:$K,3,FALSE),"")</f>
        <v/>
      </c>
      <c r="D92" s="19" t="str">
        <f>IFERROR(VLOOKUP($B92,Baza_preturi!$A:$K,6,FALSE),"")</f>
        <v/>
      </c>
      <c r="E92" s="18"/>
      <c r="F92" s="20" t="str">
        <f>IFERROR(VLOOKUP($B92,Baza_preturi!$A:$K,9,FALSE),"")</f>
        <v/>
      </c>
      <c r="G92" s="20" t="str">
        <f t="shared" si="2"/>
        <v/>
      </c>
      <c r="H92" s="19" t="str">
        <f>IF($B92="","",IFERROR(IF(VLOOKUP($B92,Baza_preturi!$A:$A,1,FALSE)=$B92,"OK","VERIFICĂ"),"COD NU EXISTĂ"))</f>
        <v/>
      </c>
    </row>
    <row r="93" spans="1:8">
      <c r="A93" s="17" t="s">
        <v>26</v>
      </c>
      <c r="B93" s="18"/>
      <c r="C93" s="10" t="str">
        <f>IFERROR(VLOOKUP($B93,Baza_preturi!$A:$K,3,FALSE),"")</f>
        <v/>
      </c>
      <c r="D93" s="19" t="str">
        <f>IFERROR(VLOOKUP($B93,Baza_preturi!$A:$K,6,FALSE),"")</f>
        <v/>
      </c>
      <c r="E93" s="18"/>
      <c r="F93" s="20" t="str">
        <f>IFERROR(VLOOKUP($B93,Baza_preturi!$A:$K,9,FALSE),"")</f>
        <v/>
      </c>
      <c r="G93" s="20" t="str">
        <f t="shared" si="2"/>
        <v/>
      </c>
      <c r="H93" s="19" t="str">
        <f>IF($B93="","",IFERROR(IF(VLOOKUP($B93,Baza_preturi!$A:$A,1,FALSE)=$B93,"OK","VERIFICĂ"),"COD NU EXISTĂ"))</f>
        <v/>
      </c>
    </row>
    <row r="94" spans="1:8">
      <c r="A94" s="17" t="s">
        <v>26</v>
      </c>
      <c r="B94" s="18"/>
      <c r="C94" s="10" t="str">
        <f>IFERROR(VLOOKUP($B94,Baza_preturi!$A:$K,3,FALSE),"")</f>
        <v/>
      </c>
      <c r="D94" s="19" t="str">
        <f>IFERROR(VLOOKUP($B94,Baza_preturi!$A:$K,6,FALSE),"")</f>
        <v/>
      </c>
      <c r="E94" s="18"/>
      <c r="F94" s="20" t="str">
        <f>IFERROR(VLOOKUP($B94,Baza_preturi!$A:$K,9,FALSE),"")</f>
        <v/>
      </c>
      <c r="G94" s="20" t="str">
        <f t="shared" si="2"/>
        <v/>
      </c>
      <c r="H94" s="19" t="str">
        <f>IF($B94="","",IFERROR(IF(VLOOKUP($B94,Baza_preturi!$A:$A,1,FALSE)=$B94,"OK","VERIFICĂ"),"COD NU EXISTĂ"))</f>
        <v/>
      </c>
    </row>
    <row r="95" spans="1:8">
      <c r="A95" s="17" t="s">
        <v>26</v>
      </c>
      <c r="B95" s="18"/>
      <c r="C95" s="10" t="str">
        <f>IFERROR(VLOOKUP($B95,Baza_preturi!$A:$K,3,FALSE),"")</f>
        <v/>
      </c>
      <c r="D95" s="19" t="str">
        <f>IFERROR(VLOOKUP($B95,Baza_preturi!$A:$K,6,FALSE),"")</f>
        <v/>
      </c>
      <c r="E95" s="18"/>
      <c r="F95" s="20" t="str">
        <f>IFERROR(VLOOKUP($B95,Baza_preturi!$A:$K,9,FALSE),"")</f>
        <v/>
      </c>
      <c r="G95" s="20" t="str">
        <f t="shared" si="2"/>
        <v/>
      </c>
      <c r="H95" s="19" t="str">
        <f>IF($B95="","",IFERROR(IF(VLOOKUP($B95,Baza_preturi!$A:$A,1,FALSE)=$B95,"OK","VERIFICĂ"),"COD NU EXISTĂ"))</f>
        <v/>
      </c>
    </row>
  </sheetData>
  <autoFilter ref="A5:H95" xr:uid="{00000000-0009-0000-0000-000001000000}"/>
  <mergeCells count="1">
    <mergeCell ref="A1:H1"/>
  </mergeCells>
  <conditionalFormatting sqref="H6:H95">
    <cfRule type="expression" dxfId="1" priority="1">
      <formula>H6="COD NU EXISTĂ"</formula>
    </cfRule>
    <cfRule type="expression" dxfId="0" priority="2">
      <formula>H6="OK"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Baza_preturi!$A$2:$A$325</xm:f>
          </x14:formula1>
          <xm:sqref>B6:B95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5"/>
  <sheetViews>
    <sheetView tabSelected="1" topLeftCell="A286" workbookViewId="0">
      <selection activeCell="C316" sqref="C316"/>
    </sheetView>
  </sheetViews>
  <sheetFormatPr defaultRowHeight="15"/>
  <cols>
    <col min="1" max="1" width="16.5703125" bestFit="1" customWidth="1"/>
    <col min="2" max="2" width="24.5703125" customWidth="1"/>
    <col min="3" max="3" width="50" customWidth="1"/>
    <col min="4" max="4" width="16" customWidth="1"/>
    <col min="5" max="5" width="10" customWidth="1"/>
    <col min="6" max="6" width="8" customWidth="1"/>
    <col min="7" max="7" width="18" customWidth="1"/>
    <col min="8" max="8" width="12" customWidth="1"/>
    <col min="9" max="9" width="18" customWidth="1"/>
    <col min="10" max="10" width="20" customWidth="1"/>
    <col min="11" max="11" width="35" customWidth="1"/>
  </cols>
  <sheetData>
    <row r="1" spans="1:11">
      <c r="A1" s="21" t="s">
        <v>57</v>
      </c>
      <c r="B1" s="21" t="s">
        <v>58</v>
      </c>
      <c r="C1" s="21" t="s">
        <v>59</v>
      </c>
      <c r="D1" s="21" t="s">
        <v>60</v>
      </c>
      <c r="E1" s="21" t="s">
        <v>61</v>
      </c>
      <c r="F1" s="21" t="s">
        <v>45</v>
      </c>
      <c r="G1" s="21" t="s">
        <v>62</v>
      </c>
      <c r="H1" s="21" t="s">
        <v>63</v>
      </c>
      <c r="I1" s="21" t="s">
        <v>64</v>
      </c>
      <c r="J1" s="21" t="s">
        <v>65</v>
      </c>
      <c r="K1" s="21" t="s">
        <v>66</v>
      </c>
    </row>
    <row r="2" spans="1:11">
      <c r="A2" s="22" t="s">
        <v>47</v>
      </c>
      <c r="B2" s="22" t="s">
        <v>67</v>
      </c>
      <c r="C2" s="23" t="s">
        <v>68</v>
      </c>
      <c r="D2" s="22" t="s">
        <v>69</v>
      </c>
      <c r="E2" s="22" t="s">
        <v>69</v>
      </c>
      <c r="F2" s="22" t="s">
        <v>70</v>
      </c>
      <c r="G2" s="24">
        <v>124.89</v>
      </c>
      <c r="H2" s="25">
        <f>Setari!$B$3</f>
        <v>0.25</v>
      </c>
      <c r="I2" s="26">
        <f t="shared" ref="I2:I149" si="0">IF(G2="","",G2*(1+H2))</f>
        <v>156.11250000000001</v>
      </c>
      <c r="J2" s="22"/>
      <c r="K2" s="23"/>
    </row>
    <row r="3" spans="1:11">
      <c r="A3" s="22" t="s">
        <v>372</v>
      </c>
      <c r="B3" s="22" t="s">
        <v>73</v>
      </c>
      <c r="C3" s="23" t="s">
        <v>370</v>
      </c>
      <c r="D3" s="22" t="s">
        <v>74</v>
      </c>
      <c r="E3" s="22">
        <v>15</v>
      </c>
      <c r="F3" s="22" t="s">
        <v>75</v>
      </c>
      <c r="G3" s="24"/>
      <c r="H3" s="25">
        <f>Setari!$B$3</f>
        <v>0.25</v>
      </c>
      <c r="I3" s="26" t="str">
        <f t="shared" si="0"/>
        <v/>
      </c>
      <c r="J3" s="22"/>
      <c r="K3" s="23"/>
    </row>
    <row r="4" spans="1:11">
      <c r="A4" s="22" t="s">
        <v>373</v>
      </c>
      <c r="B4" s="22" t="s">
        <v>73</v>
      </c>
      <c r="C4" s="23" t="s">
        <v>371</v>
      </c>
      <c r="D4" s="22" t="s">
        <v>74</v>
      </c>
      <c r="E4" s="22">
        <v>15</v>
      </c>
      <c r="F4" s="22" t="s">
        <v>75</v>
      </c>
      <c r="G4" s="24"/>
      <c r="H4" s="25">
        <f>Setari!$B$3</f>
        <v>0.25</v>
      </c>
      <c r="I4" s="26" t="str">
        <f t="shared" ref="I4" si="1">IF(G4="","",G4*(1+H4))</f>
        <v/>
      </c>
      <c r="J4" s="22"/>
      <c r="K4" s="23"/>
    </row>
    <row r="5" spans="1:11">
      <c r="A5" s="22" t="s">
        <v>374</v>
      </c>
      <c r="B5" s="22" t="s">
        <v>73</v>
      </c>
      <c r="C5" s="23" t="s">
        <v>375</v>
      </c>
      <c r="D5" s="22" t="s">
        <v>74</v>
      </c>
      <c r="E5" s="22">
        <v>20</v>
      </c>
      <c r="F5" s="22" t="s">
        <v>75</v>
      </c>
      <c r="G5" s="24"/>
      <c r="H5" s="25">
        <f>Setari!$B$3</f>
        <v>0.25</v>
      </c>
      <c r="I5" s="26" t="str">
        <f t="shared" ref="I5" si="2">IF(G5="","",G5*(1+H5))</f>
        <v/>
      </c>
      <c r="J5" s="22"/>
      <c r="K5" s="23"/>
    </row>
    <row r="6" spans="1:11">
      <c r="A6" s="22" t="s">
        <v>398</v>
      </c>
      <c r="B6" s="22" t="s">
        <v>73</v>
      </c>
      <c r="C6" s="23" t="s">
        <v>399</v>
      </c>
      <c r="D6" s="22" t="s">
        <v>74</v>
      </c>
      <c r="E6" s="22">
        <v>20</v>
      </c>
      <c r="F6" s="22" t="s">
        <v>75</v>
      </c>
      <c r="G6" s="24">
        <v>31</v>
      </c>
      <c r="H6" s="25">
        <f>Setari!$B$3</f>
        <v>0.25</v>
      </c>
      <c r="I6" s="26">
        <f t="shared" ref="I6" si="3">IF(G6="","",G6*(1+H6))</f>
        <v>38.75</v>
      </c>
      <c r="J6" s="22"/>
      <c r="K6" s="23"/>
    </row>
    <row r="7" spans="1:11">
      <c r="A7" s="22" t="s">
        <v>376</v>
      </c>
      <c r="B7" s="22" t="s">
        <v>73</v>
      </c>
      <c r="C7" s="23" t="s">
        <v>377</v>
      </c>
      <c r="D7" s="22" t="s">
        <v>74</v>
      </c>
      <c r="E7" s="22">
        <v>20</v>
      </c>
      <c r="F7" s="22" t="s">
        <v>75</v>
      </c>
      <c r="G7" s="24"/>
      <c r="H7" s="25">
        <f>Setari!$B$3</f>
        <v>0.25</v>
      </c>
      <c r="I7" s="26" t="str">
        <f t="shared" si="0"/>
        <v/>
      </c>
      <c r="J7" s="22"/>
      <c r="K7" s="23"/>
    </row>
    <row r="8" spans="1:11">
      <c r="A8" s="22" t="s">
        <v>379</v>
      </c>
      <c r="B8" s="22" t="s">
        <v>73</v>
      </c>
      <c r="C8" s="23" t="s">
        <v>378</v>
      </c>
      <c r="D8" s="22" t="s">
        <v>74</v>
      </c>
      <c r="E8" s="22">
        <v>25</v>
      </c>
      <c r="F8" s="22" t="s">
        <v>75</v>
      </c>
      <c r="G8" s="24">
        <v>32</v>
      </c>
      <c r="H8" s="25">
        <f>Setari!$B$3</f>
        <v>0.25</v>
      </c>
      <c r="I8" s="26">
        <f t="shared" ref="I8" si="4">IF(G8="","",G8*(1+H8))</f>
        <v>40</v>
      </c>
      <c r="J8" s="22"/>
      <c r="K8" s="23"/>
    </row>
    <row r="9" spans="1:11">
      <c r="A9" s="22" t="s">
        <v>380</v>
      </c>
      <c r="B9" s="22" t="s">
        <v>73</v>
      </c>
      <c r="C9" s="23" t="s">
        <v>381</v>
      </c>
      <c r="D9" s="22" t="s">
        <v>74</v>
      </c>
      <c r="E9" s="22">
        <v>25</v>
      </c>
      <c r="F9" s="22" t="s">
        <v>75</v>
      </c>
      <c r="G9" s="24"/>
      <c r="H9" s="25">
        <f>Setari!$B$3</f>
        <v>0.25</v>
      </c>
      <c r="I9" s="26" t="str">
        <f t="shared" ref="I9" si="5">IF(G9="","",G9*(1+H9))</f>
        <v/>
      </c>
      <c r="J9" s="22"/>
      <c r="K9" s="23"/>
    </row>
    <row r="10" spans="1:11">
      <c r="A10" s="22" t="s">
        <v>400</v>
      </c>
      <c r="B10" s="22" t="s">
        <v>73</v>
      </c>
      <c r="C10" s="23" t="s">
        <v>401</v>
      </c>
      <c r="D10" s="22" t="s">
        <v>74</v>
      </c>
      <c r="E10" s="22">
        <v>25</v>
      </c>
      <c r="F10" s="22" t="s">
        <v>75</v>
      </c>
      <c r="G10" s="24"/>
      <c r="H10" s="25">
        <f>Setari!$B$3</f>
        <v>0.25</v>
      </c>
      <c r="I10" s="26" t="str">
        <f t="shared" ref="I10" si="6">IF(G10="","",G10*(1+H10))</f>
        <v/>
      </c>
      <c r="J10" s="22"/>
      <c r="K10" s="23"/>
    </row>
    <row r="11" spans="1:11">
      <c r="A11" s="22" t="s">
        <v>382</v>
      </c>
      <c r="B11" s="22" t="s">
        <v>73</v>
      </c>
      <c r="C11" s="23" t="s">
        <v>383</v>
      </c>
      <c r="D11" s="22" t="s">
        <v>74</v>
      </c>
      <c r="E11" s="22">
        <v>25</v>
      </c>
      <c r="F11" s="22" t="s">
        <v>75</v>
      </c>
      <c r="G11" s="24"/>
      <c r="H11" s="25">
        <f>Setari!$B$3</f>
        <v>0.25</v>
      </c>
      <c r="I11" s="26" t="str">
        <f t="shared" si="0"/>
        <v/>
      </c>
      <c r="J11" s="22"/>
      <c r="K11" s="23"/>
    </row>
    <row r="12" spans="1:11">
      <c r="A12" s="22" t="s">
        <v>384</v>
      </c>
      <c r="B12" s="22" t="s">
        <v>73</v>
      </c>
      <c r="C12" s="23" t="s">
        <v>385</v>
      </c>
      <c r="D12" s="22" t="s">
        <v>74</v>
      </c>
      <c r="E12" s="22">
        <v>32</v>
      </c>
      <c r="F12" s="22" t="s">
        <v>75</v>
      </c>
      <c r="G12" s="24">
        <v>42</v>
      </c>
      <c r="H12" s="25">
        <f>Setari!$B$3</f>
        <v>0.25</v>
      </c>
      <c r="I12" s="26">
        <f t="shared" ref="I12" si="7">IF(G12="","",G12*(1+H12))</f>
        <v>52.5</v>
      </c>
      <c r="J12" s="22"/>
      <c r="K12" s="23"/>
    </row>
    <row r="13" spans="1:11">
      <c r="A13" s="22" t="s">
        <v>386</v>
      </c>
      <c r="B13" s="22" t="s">
        <v>73</v>
      </c>
      <c r="C13" s="23" t="s">
        <v>387</v>
      </c>
      <c r="D13" s="22" t="s">
        <v>74</v>
      </c>
      <c r="E13" s="22">
        <v>32</v>
      </c>
      <c r="F13" s="22" t="s">
        <v>75</v>
      </c>
      <c r="G13" s="24"/>
      <c r="H13" s="25">
        <f>Setari!$B$3</f>
        <v>0.25</v>
      </c>
      <c r="I13" s="26" t="str">
        <f t="shared" ref="I13" si="8">IF(G13="","",G13*(1+H13))</f>
        <v/>
      </c>
      <c r="J13" s="22"/>
      <c r="K13" s="23"/>
    </row>
    <row r="14" spans="1:11">
      <c r="A14" s="22" t="s">
        <v>388</v>
      </c>
      <c r="B14" s="22" t="s">
        <v>73</v>
      </c>
      <c r="C14" s="23" t="s">
        <v>389</v>
      </c>
      <c r="D14" s="22" t="s">
        <v>74</v>
      </c>
      <c r="E14" s="22">
        <v>32</v>
      </c>
      <c r="F14" s="22" t="s">
        <v>75</v>
      </c>
      <c r="G14" s="24"/>
      <c r="H14" s="25">
        <f>Setari!$B$3</f>
        <v>0.25</v>
      </c>
      <c r="I14" s="26" t="str">
        <f t="shared" ref="I14" si="9">IF(G14="","",G14*(1+H14))</f>
        <v/>
      </c>
      <c r="J14" s="22"/>
      <c r="K14" s="23"/>
    </row>
    <row r="15" spans="1:11">
      <c r="A15" s="22" t="s">
        <v>390</v>
      </c>
      <c r="B15" s="22" t="s">
        <v>73</v>
      </c>
      <c r="C15" s="23" t="s">
        <v>391</v>
      </c>
      <c r="D15" s="22" t="s">
        <v>74</v>
      </c>
      <c r="E15" s="22">
        <v>40</v>
      </c>
      <c r="F15" s="22" t="s">
        <v>75</v>
      </c>
      <c r="G15" s="24"/>
      <c r="H15" s="25">
        <f>Setari!$B$3</f>
        <v>0.25</v>
      </c>
      <c r="I15" s="26" t="str">
        <f t="shared" ref="I15" si="10">IF(G15="","",G15*(1+H15))</f>
        <v/>
      </c>
      <c r="J15" s="22"/>
      <c r="K15" s="23"/>
    </row>
    <row r="16" spans="1:11">
      <c r="A16" s="22" t="s">
        <v>392</v>
      </c>
      <c r="B16" s="22" t="s">
        <v>73</v>
      </c>
      <c r="C16" s="23" t="s">
        <v>393</v>
      </c>
      <c r="D16" s="22" t="s">
        <v>74</v>
      </c>
      <c r="E16" s="22">
        <v>40</v>
      </c>
      <c r="F16" s="22" t="s">
        <v>75</v>
      </c>
      <c r="G16" s="24"/>
      <c r="H16" s="25">
        <f>Setari!$B$3</f>
        <v>0.25</v>
      </c>
      <c r="I16" s="26" t="str">
        <f t="shared" ref="I16" si="11">IF(G16="","",G16*(1+H16))</f>
        <v/>
      </c>
      <c r="J16" s="22"/>
      <c r="K16" s="23"/>
    </row>
    <row r="17" spans="1:11">
      <c r="A17" s="22" t="s">
        <v>394</v>
      </c>
      <c r="B17" s="22" t="s">
        <v>73</v>
      </c>
      <c r="C17" s="23" t="s">
        <v>395</v>
      </c>
      <c r="D17" s="22" t="s">
        <v>74</v>
      </c>
      <c r="E17" s="22">
        <v>40</v>
      </c>
      <c r="F17" s="22" t="s">
        <v>75</v>
      </c>
      <c r="G17" s="24"/>
      <c r="H17" s="25">
        <f>Setari!$B$3</f>
        <v>0.25</v>
      </c>
      <c r="I17" s="26" t="str">
        <f t="shared" ref="I17" si="12">IF(G17="","",G17*(1+H17))</f>
        <v/>
      </c>
      <c r="J17" s="22"/>
      <c r="K17" s="23"/>
    </row>
    <row r="18" spans="1:11">
      <c r="A18" s="22" t="s">
        <v>396</v>
      </c>
      <c r="B18" s="22" t="s">
        <v>73</v>
      </c>
      <c r="C18" s="23" t="s">
        <v>397</v>
      </c>
      <c r="D18" s="22" t="s">
        <v>74</v>
      </c>
      <c r="E18" s="22">
        <v>40</v>
      </c>
      <c r="F18" s="22" t="s">
        <v>75</v>
      </c>
      <c r="G18" s="24"/>
      <c r="H18" s="25">
        <f>Setari!$B$3</f>
        <v>0.25</v>
      </c>
      <c r="I18" s="26" t="str">
        <f t="shared" ref="I18:I19" si="13">IF(G18="","",G18*(1+H18))</f>
        <v/>
      </c>
      <c r="J18" s="22"/>
      <c r="K18" s="23"/>
    </row>
    <row r="19" spans="1:11">
      <c r="A19" s="22" t="s">
        <v>402</v>
      </c>
      <c r="B19" s="22" t="s">
        <v>73</v>
      </c>
      <c r="C19" s="23" t="s">
        <v>407</v>
      </c>
      <c r="D19" s="22" t="s">
        <v>74</v>
      </c>
      <c r="E19" s="22">
        <v>50</v>
      </c>
      <c r="F19" s="22" t="s">
        <v>75</v>
      </c>
      <c r="G19" s="24"/>
      <c r="H19" s="25">
        <f>Setari!$B$3</f>
        <v>0.25</v>
      </c>
      <c r="I19" s="26" t="str">
        <f t="shared" si="13"/>
        <v/>
      </c>
      <c r="J19" s="22"/>
      <c r="K19" s="23"/>
    </row>
    <row r="20" spans="1:11">
      <c r="A20" s="22" t="s">
        <v>403</v>
      </c>
      <c r="B20" s="22" t="s">
        <v>73</v>
      </c>
      <c r="C20" s="23" t="s">
        <v>408</v>
      </c>
      <c r="D20" s="22" t="s">
        <v>74</v>
      </c>
      <c r="E20" s="22">
        <v>50</v>
      </c>
      <c r="F20" s="22" t="s">
        <v>75</v>
      </c>
      <c r="G20" s="24"/>
      <c r="H20" s="25">
        <f>Setari!$B$3</f>
        <v>0.25</v>
      </c>
      <c r="I20" s="26" t="str">
        <f t="shared" ref="I20" si="14">IF(G20="","",G20*(1+H20))</f>
        <v/>
      </c>
      <c r="J20" s="22"/>
      <c r="K20" s="23"/>
    </row>
    <row r="21" spans="1:11">
      <c r="A21" s="22" t="s">
        <v>404</v>
      </c>
      <c r="B21" s="22" t="s">
        <v>73</v>
      </c>
      <c r="C21" s="23" t="s">
        <v>409</v>
      </c>
      <c r="D21" s="22" t="s">
        <v>74</v>
      </c>
      <c r="E21" s="22">
        <v>50</v>
      </c>
      <c r="F21" s="22" t="s">
        <v>75</v>
      </c>
      <c r="G21" s="24"/>
      <c r="H21" s="25">
        <f>Setari!$B$3</f>
        <v>0.25</v>
      </c>
      <c r="I21" s="26" t="str">
        <f t="shared" ref="I21" si="15">IF(G21="","",G21*(1+H21))</f>
        <v/>
      </c>
      <c r="J21" s="22"/>
      <c r="K21" s="23"/>
    </row>
    <row r="22" spans="1:11">
      <c r="A22" s="22" t="s">
        <v>405</v>
      </c>
      <c r="B22" s="22" t="s">
        <v>73</v>
      </c>
      <c r="C22" s="23" t="s">
        <v>410</v>
      </c>
      <c r="D22" s="22" t="s">
        <v>74</v>
      </c>
      <c r="E22" s="22">
        <v>50</v>
      </c>
      <c r="F22" s="22" t="s">
        <v>75</v>
      </c>
      <c r="G22" s="24"/>
      <c r="H22" s="25">
        <f>Setari!$B$3</f>
        <v>0.25</v>
      </c>
      <c r="I22" s="26" t="str">
        <f t="shared" ref="I22" si="16">IF(G22="","",G22*(1+H22))</f>
        <v/>
      </c>
      <c r="J22" s="22"/>
      <c r="K22" s="23"/>
    </row>
    <row r="23" spans="1:11">
      <c r="A23" s="22" t="s">
        <v>406</v>
      </c>
      <c r="B23" s="22" t="s">
        <v>73</v>
      </c>
      <c r="C23" s="23" t="s">
        <v>411</v>
      </c>
      <c r="D23" s="22" t="s">
        <v>74</v>
      </c>
      <c r="E23" s="22">
        <v>50</v>
      </c>
      <c r="F23" s="22" t="s">
        <v>75</v>
      </c>
      <c r="G23" s="24"/>
      <c r="H23" s="25">
        <f>Setari!$B$3</f>
        <v>0.25</v>
      </c>
      <c r="I23" s="26" t="str">
        <f t="shared" ref="I23:I27" si="17">IF(G23="","",G23*(1+H23))</f>
        <v/>
      </c>
      <c r="J23" s="22"/>
      <c r="K23" s="23"/>
    </row>
    <row r="24" spans="1:11">
      <c r="A24" s="22" t="s">
        <v>412</v>
      </c>
      <c r="B24" s="22" t="s">
        <v>73</v>
      </c>
      <c r="C24" s="23" t="s">
        <v>413</v>
      </c>
      <c r="D24" s="22" t="s">
        <v>74</v>
      </c>
      <c r="E24" s="22">
        <v>65</v>
      </c>
      <c r="F24" s="22" t="s">
        <v>75</v>
      </c>
      <c r="G24" s="24"/>
      <c r="H24" s="25">
        <f>Setari!$B$3</f>
        <v>0.25</v>
      </c>
      <c r="I24" s="26" t="str">
        <f t="shared" si="17"/>
        <v/>
      </c>
      <c r="J24" s="22"/>
      <c r="K24" s="23"/>
    </row>
    <row r="25" spans="1:11">
      <c r="A25" s="22" t="s">
        <v>422</v>
      </c>
      <c r="B25" s="22" t="s">
        <v>73</v>
      </c>
      <c r="C25" s="23" t="s">
        <v>414</v>
      </c>
      <c r="D25" s="22" t="s">
        <v>74</v>
      </c>
      <c r="E25" s="22">
        <v>65</v>
      </c>
      <c r="F25" s="22" t="s">
        <v>75</v>
      </c>
      <c r="G25" s="24"/>
      <c r="H25" s="25">
        <f>Setari!$B$3</f>
        <v>0.25</v>
      </c>
      <c r="I25" s="26" t="str">
        <f t="shared" si="17"/>
        <v/>
      </c>
      <c r="J25" s="22"/>
      <c r="K25" s="23"/>
    </row>
    <row r="26" spans="1:11">
      <c r="A26" s="22" t="s">
        <v>423</v>
      </c>
      <c r="B26" s="22" t="s">
        <v>73</v>
      </c>
      <c r="C26" s="23" t="s">
        <v>415</v>
      </c>
      <c r="D26" s="22" t="s">
        <v>74</v>
      </c>
      <c r="E26" s="22">
        <v>65</v>
      </c>
      <c r="F26" s="22" t="s">
        <v>75</v>
      </c>
      <c r="G26" s="24"/>
      <c r="H26" s="25">
        <f>Setari!$B$3</f>
        <v>0.25</v>
      </c>
      <c r="I26" s="26" t="str">
        <f t="shared" si="17"/>
        <v/>
      </c>
      <c r="J26" s="22"/>
      <c r="K26" s="23"/>
    </row>
    <row r="27" spans="1:11">
      <c r="A27" s="22" t="s">
        <v>424</v>
      </c>
      <c r="B27" s="22" t="s">
        <v>73</v>
      </c>
      <c r="C27" s="23" t="s">
        <v>416</v>
      </c>
      <c r="D27" s="22" t="s">
        <v>74</v>
      </c>
      <c r="E27" s="22">
        <v>65</v>
      </c>
      <c r="F27" s="22" t="s">
        <v>75</v>
      </c>
      <c r="G27" s="24"/>
      <c r="H27" s="25">
        <f>Setari!$B$3</f>
        <v>0.25</v>
      </c>
      <c r="I27" s="26" t="str">
        <f t="shared" si="17"/>
        <v/>
      </c>
      <c r="J27" s="22"/>
      <c r="K27" s="23"/>
    </row>
    <row r="28" spans="1:11">
      <c r="A28" s="22" t="s">
        <v>425</v>
      </c>
      <c r="B28" s="22" t="s">
        <v>73</v>
      </c>
      <c r="C28" s="23" t="s">
        <v>417</v>
      </c>
      <c r="D28" s="22" t="s">
        <v>74</v>
      </c>
      <c r="E28" s="22">
        <v>65</v>
      </c>
      <c r="F28" s="22" t="s">
        <v>75</v>
      </c>
      <c r="G28" s="24"/>
      <c r="H28" s="25">
        <f>Setari!$B$3</f>
        <v>0.25</v>
      </c>
      <c r="I28" s="26" t="str">
        <f t="shared" ref="I28:I31" si="18">IF(G28="","",G28*(1+H28))</f>
        <v/>
      </c>
      <c r="J28" s="22"/>
      <c r="K28" s="23"/>
    </row>
    <row r="29" spans="1:11">
      <c r="A29" s="22" t="s">
        <v>426</v>
      </c>
      <c r="B29" s="22" t="s">
        <v>73</v>
      </c>
      <c r="C29" s="23" t="s">
        <v>418</v>
      </c>
      <c r="D29" s="22" t="s">
        <v>74</v>
      </c>
      <c r="E29" s="22">
        <v>80</v>
      </c>
      <c r="F29" s="22" t="s">
        <v>75</v>
      </c>
      <c r="G29" s="24">
        <v>96</v>
      </c>
      <c r="H29" s="25">
        <f>Setari!$B$3</f>
        <v>0.25</v>
      </c>
      <c r="I29" s="26">
        <f t="shared" si="18"/>
        <v>120</v>
      </c>
      <c r="J29" s="22"/>
      <c r="K29" s="23"/>
    </row>
    <row r="30" spans="1:11">
      <c r="A30" s="22" t="s">
        <v>427</v>
      </c>
      <c r="B30" s="22" t="s">
        <v>73</v>
      </c>
      <c r="C30" s="23" t="s">
        <v>419</v>
      </c>
      <c r="D30" s="22" t="s">
        <v>74</v>
      </c>
      <c r="E30" s="22">
        <v>80</v>
      </c>
      <c r="F30" s="22" t="s">
        <v>75</v>
      </c>
      <c r="G30" s="24"/>
      <c r="H30" s="25">
        <f>Setari!$B$3</f>
        <v>0.25</v>
      </c>
      <c r="I30" s="26" t="str">
        <f t="shared" si="18"/>
        <v/>
      </c>
      <c r="J30" s="22"/>
      <c r="K30" s="23"/>
    </row>
    <row r="31" spans="1:11">
      <c r="A31" s="22" t="s">
        <v>428</v>
      </c>
      <c r="B31" s="22" t="s">
        <v>73</v>
      </c>
      <c r="C31" s="23" t="s">
        <v>420</v>
      </c>
      <c r="D31" s="22" t="s">
        <v>74</v>
      </c>
      <c r="E31" s="22">
        <v>80</v>
      </c>
      <c r="F31" s="22" t="s">
        <v>75</v>
      </c>
      <c r="G31" s="24"/>
      <c r="H31" s="25">
        <f>Setari!$B$3</f>
        <v>0.25</v>
      </c>
      <c r="I31" s="26" t="str">
        <f t="shared" si="18"/>
        <v/>
      </c>
      <c r="J31" s="22"/>
      <c r="K31" s="23"/>
    </row>
    <row r="32" spans="1:11">
      <c r="A32" s="22" t="s">
        <v>429</v>
      </c>
      <c r="B32" s="22" t="s">
        <v>73</v>
      </c>
      <c r="C32" s="23" t="s">
        <v>421</v>
      </c>
      <c r="D32" s="22" t="s">
        <v>74</v>
      </c>
      <c r="E32" s="22">
        <v>80</v>
      </c>
      <c r="F32" s="22" t="s">
        <v>75</v>
      </c>
      <c r="G32" s="24"/>
      <c r="H32" s="25">
        <f>Setari!$B$3</f>
        <v>0.25</v>
      </c>
      <c r="I32" s="26" t="str">
        <f t="shared" ref="I32:I35" si="19">IF(G32="","",G32*(1+H32))</f>
        <v/>
      </c>
      <c r="J32" s="22"/>
      <c r="K32" s="23"/>
    </row>
    <row r="33" spans="1:11">
      <c r="A33" s="22" t="s">
        <v>430</v>
      </c>
      <c r="B33" s="22" t="s">
        <v>73</v>
      </c>
      <c r="C33" s="23" t="s">
        <v>437</v>
      </c>
      <c r="D33" s="22" t="s">
        <v>74</v>
      </c>
      <c r="E33" s="22">
        <v>100</v>
      </c>
      <c r="F33" s="22" t="s">
        <v>75</v>
      </c>
      <c r="G33" s="24">
        <v>133</v>
      </c>
      <c r="H33" s="25">
        <f>Setari!$B$3</f>
        <v>0.25</v>
      </c>
      <c r="I33" s="26">
        <f t="shared" si="19"/>
        <v>166.25</v>
      </c>
      <c r="J33" s="22"/>
      <c r="K33" s="23"/>
    </row>
    <row r="34" spans="1:11">
      <c r="A34" s="22" t="s">
        <v>432</v>
      </c>
      <c r="B34" s="22" t="s">
        <v>73</v>
      </c>
      <c r="C34" s="23" t="s">
        <v>436</v>
      </c>
      <c r="D34" s="22" t="s">
        <v>74</v>
      </c>
      <c r="E34" s="22">
        <v>100</v>
      </c>
      <c r="F34" s="22" t="s">
        <v>75</v>
      </c>
      <c r="G34" s="24"/>
      <c r="H34" s="25">
        <f>Setari!$B$3</f>
        <v>0.25</v>
      </c>
      <c r="I34" s="26" t="str">
        <f t="shared" si="19"/>
        <v/>
      </c>
      <c r="J34" s="22"/>
      <c r="K34" s="23"/>
    </row>
    <row r="35" spans="1:11">
      <c r="A35" s="22" t="s">
        <v>431</v>
      </c>
      <c r="B35" s="22" t="s">
        <v>73</v>
      </c>
      <c r="C35" s="23" t="s">
        <v>435</v>
      </c>
      <c r="D35" s="22" t="s">
        <v>74</v>
      </c>
      <c r="E35" s="22">
        <v>100</v>
      </c>
      <c r="F35" s="22" t="s">
        <v>75</v>
      </c>
      <c r="G35" s="24"/>
      <c r="H35" s="25">
        <f>Setari!$B$3</f>
        <v>0.25</v>
      </c>
      <c r="I35" s="26" t="str">
        <f t="shared" si="19"/>
        <v/>
      </c>
      <c r="J35" s="22"/>
      <c r="K35" s="23"/>
    </row>
    <row r="36" spans="1:11">
      <c r="A36" s="22" t="s">
        <v>433</v>
      </c>
      <c r="B36" s="22" t="s">
        <v>73</v>
      </c>
      <c r="C36" s="23" t="s">
        <v>434</v>
      </c>
      <c r="D36" s="22" t="s">
        <v>74</v>
      </c>
      <c r="E36" s="22">
        <v>100</v>
      </c>
      <c r="F36" s="22" t="s">
        <v>75</v>
      </c>
      <c r="G36" s="24"/>
      <c r="H36" s="25">
        <f>Setari!$B$3</f>
        <v>0.25</v>
      </c>
      <c r="I36" s="26" t="str">
        <f t="shared" ref="I36" si="20">IF(G36="","",G36*(1+H36))</f>
        <v/>
      </c>
      <c r="J36" s="22"/>
      <c r="K36" s="23"/>
    </row>
    <row r="37" spans="1:11">
      <c r="A37" s="22" t="s">
        <v>438</v>
      </c>
      <c r="B37" s="22" t="s">
        <v>73</v>
      </c>
      <c r="C37" s="23" t="s">
        <v>439</v>
      </c>
      <c r="D37" s="22" t="s">
        <v>74</v>
      </c>
      <c r="E37" s="22">
        <v>100</v>
      </c>
      <c r="F37" s="22" t="s">
        <v>75</v>
      </c>
      <c r="G37" s="24"/>
      <c r="H37" s="25">
        <f>Setari!$B$3</f>
        <v>0.25</v>
      </c>
      <c r="I37" s="26" t="str">
        <f t="shared" ref="I37" si="21">IF(G37="","",G37*(1+H37))</f>
        <v/>
      </c>
      <c r="J37" s="22"/>
      <c r="K37" s="23"/>
    </row>
    <row r="38" spans="1:11">
      <c r="A38" s="22" t="s">
        <v>440</v>
      </c>
      <c r="B38" s="22" t="s">
        <v>73</v>
      </c>
      <c r="C38" s="23" t="s">
        <v>449</v>
      </c>
      <c r="D38" s="22" t="s">
        <v>74</v>
      </c>
      <c r="E38" s="22">
        <v>125</v>
      </c>
      <c r="F38" s="22" t="s">
        <v>75</v>
      </c>
      <c r="G38" s="24"/>
      <c r="H38" s="25">
        <f>Setari!$B$3</f>
        <v>0.25</v>
      </c>
      <c r="I38" s="26" t="str">
        <f t="shared" si="0"/>
        <v/>
      </c>
      <c r="J38" s="22"/>
      <c r="K38" s="23"/>
    </row>
    <row r="39" spans="1:11">
      <c r="A39" s="22" t="s">
        <v>442</v>
      </c>
      <c r="B39" s="22" t="s">
        <v>73</v>
      </c>
      <c r="C39" s="23" t="s">
        <v>450</v>
      </c>
      <c r="D39" s="22" t="s">
        <v>74</v>
      </c>
      <c r="E39" s="22">
        <v>125</v>
      </c>
      <c r="F39" s="22" t="s">
        <v>75</v>
      </c>
      <c r="G39" s="24"/>
      <c r="H39" s="25">
        <f>Setari!$B$3</f>
        <v>0.25</v>
      </c>
      <c r="I39" s="26" t="str">
        <f t="shared" ref="I39:I40" si="22">IF(G39="","",G39*(1+H39))</f>
        <v/>
      </c>
      <c r="J39" s="22"/>
      <c r="K39" s="23"/>
    </row>
    <row r="40" spans="1:11">
      <c r="A40" s="22" t="s">
        <v>443</v>
      </c>
      <c r="B40" s="22" t="s">
        <v>73</v>
      </c>
      <c r="C40" s="23" t="s">
        <v>451</v>
      </c>
      <c r="D40" s="22" t="s">
        <v>74</v>
      </c>
      <c r="E40" s="22">
        <v>150</v>
      </c>
      <c r="F40" s="22" t="s">
        <v>75</v>
      </c>
      <c r="G40" s="24"/>
      <c r="H40" s="25">
        <f>Setari!$B$3</f>
        <v>0.25</v>
      </c>
      <c r="I40" s="26" t="str">
        <f t="shared" si="22"/>
        <v/>
      </c>
      <c r="J40" s="22"/>
      <c r="K40" s="23"/>
    </row>
    <row r="41" spans="1:11">
      <c r="A41" s="22" t="s">
        <v>441</v>
      </c>
      <c r="B41" s="22" t="s">
        <v>73</v>
      </c>
      <c r="C41" s="23" t="s">
        <v>452</v>
      </c>
      <c r="D41" s="22" t="s">
        <v>74</v>
      </c>
      <c r="E41" s="22">
        <v>150</v>
      </c>
      <c r="F41" s="22" t="s">
        <v>75</v>
      </c>
      <c r="G41" s="24"/>
      <c r="H41" s="25">
        <f>Setari!$B$3</f>
        <v>0.25</v>
      </c>
      <c r="I41" s="26" t="str">
        <f t="shared" si="0"/>
        <v/>
      </c>
      <c r="J41" s="22"/>
      <c r="K41" s="23"/>
    </row>
    <row r="42" spans="1:11">
      <c r="A42" s="22" t="s">
        <v>444</v>
      </c>
      <c r="B42" s="22" t="s">
        <v>73</v>
      </c>
      <c r="C42" s="23" t="s">
        <v>453</v>
      </c>
      <c r="D42" s="22" t="s">
        <v>74</v>
      </c>
      <c r="E42" s="22">
        <v>200</v>
      </c>
      <c r="F42" s="22" t="s">
        <v>75</v>
      </c>
      <c r="G42" s="24"/>
      <c r="H42" s="25">
        <f>Setari!$B$3</f>
        <v>0.25</v>
      </c>
      <c r="I42" s="26"/>
      <c r="J42" s="22"/>
      <c r="K42" s="23"/>
    </row>
    <row r="43" spans="1:11">
      <c r="A43" s="22" t="s">
        <v>445</v>
      </c>
      <c r="B43" s="22" t="s">
        <v>73</v>
      </c>
      <c r="C43" s="23" t="s">
        <v>454</v>
      </c>
      <c r="D43" s="22" t="s">
        <v>74</v>
      </c>
      <c r="E43" s="22">
        <v>200</v>
      </c>
      <c r="F43" s="22" t="s">
        <v>75</v>
      </c>
      <c r="G43" s="24"/>
      <c r="H43" s="25">
        <f>Setari!$B$3</f>
        <v>0.25</v>
      </c>
      <c r="I43" s="26"/>
      <c r="J43" s="22"/>
      <c r="K43" s="23"/>
    </row>
    <row r="44" spans="1:11">
      <c r="A44" s="22" t="s">
        <v>446</v>
      </c>
      <c r="B44" s="22" t="s">
        <v>73</v>
      </c>
      <c r="C44" s="23" t="s">
        <v>455</v>
      </c>
      <c r="D44" s="22" t="s">
        <v>74</v>
      </c>
      <c r="E44" s="22">
        <v>200</v>
      </c>
      <c r="F44" s="22" t="s">
        <v>75</v>
      </c>
      <c r="G44" s="24"/>
      <c r="H44" s="25">
        <f>Setari!$B$3</f>
        <v>0.25</v>
      </c>
      <c r="I44" s="26"/>
      <c r="J44" s="22"/>
      <c r="K44" s="23"/>
    </row>
    <row r="45" spans="1:11">
      <c r="A45" s="22" t="s">
        <v>447</v>
      </c>
      <c r="B45" s="22" t="s">
        <v>73</v>
      </c>
      <c r="C45" s="23" t="s">
        <v>456</v>
      </c>
      <c r="D45" s="22" t="s">
        <v>74</v>
      </c>
      <c r="E45" s="22">
        <v>250</v>
      </c>
      <c r="F45" s="22" t="s">
        <v>75</v>
      </c>
      <c r="G45" s="24"/>
      <c r="H45" s="25">
        <f>Setari!$B$3</f>
        <v>0.25</v>
      </c>
      <c r="I45" s="26"/>
      <c r="J45" s="22"/>
      <c r="K45" s="23"/>
    </row>
    <row r="46" spans="1:11">
      <c r="A46" s="22" t="s">
        <v>448</v>
      </c>
      <c r="B46" s="22" t="s">
        <v>73</v>
      </c>
      <c r="C46" s="23" t="s">
        <v>457</v>
      </c>
      <c r="D46" s="22" t="s">
        <v>74</v>
      </c>
      <c r="E46" s="22">
        <v>250</v>
      </c>
      <c r="F46" s="22" t="s">
        <v>75</v>
      </c>
      <c r="G46" s="24"/>
      <c r="H46" s="25">
        <f>Setari!$B$3</f>
        <v>0.25</v>
      </c>
      <c r="I46" s="26"/>
      <c r="J46" s="22"/>
      <c r="K46" s="23"/>
    </row>
    <row r="47" spans="1:11">
      <c r="A47" s="22" t="s">
        <v>459</v>
      </c>
      <c r="B47" s="22" t="s">
        <v>73</v>
      </c>
      <c r="C47" s="23" t="s">
        <v>458</v>
      </c>
      <c r="D47" s="22" t="s">
        <v>72</v>
      </c>
      <c r="E47" s="22">
        <v>15</v>
      </c>
      <c r="F47" s="22" t="s">
        <v>75</v>
      </c>
      <c r="G47" s="24"/>
      <c r="H47" s="25">
        <f>Setari!$B$3</f>
        <v>0.25</v>
      </c>
      <c r="I47" s="26" t="str">
        <f t="shared" si="0"/>
        <v/>
      </c>
      <c r="J47" s="22"/>
      <c r="K47" s="23"/>
    </row>
    <row r="48" spans="1:11">
      <c r="A48" s="22" t="s">
        <v>460</v>
      </c>
      <c r="B48" s="22" t="s">
        <v>73</v>
      </c>
      <c r="C48" s="23" t="s">
        <v>461</v>
      </c>
      <c r="D48" s="22" t="s">
        <v>72</v>
      </c>
      <c r="E48" s="22">
        <v>15</v>
      </c>
      <c r="F48" s="22" t="s">
        <v>75</v>
      </c>
      <c r="G48" s="24"/>
      <c r="H48" s="25">
        <f>Setari!$B$3</f>
        <v>0.25</v>
      </c>
      <c r="I48" s="26" t="str">
        <f>IF(G48="","",G48*(1+H48))</f>
        <v/>
      </c>
      <c r="J48" s="22"/>
      <c r="K48" s="23"/>
    </row>
    <row r="49" spans="1:11">
      <c r="A49" s="22" t="s">
        <v>462</v>
      </c>
      <c r="B49" s="22" t="s">
        <v>73</v>
      </c>
      <c r="C49" s="23" t="s">
        <v>463</v>
      </c>
      <c r="D49" s="22" t="s">
        <v>72</v>
      </c>
      <c r="E49" s="22">
        <v>20</v>
      </c>
      <c r="F49" s="22" t="s">
        <v>75</v>
      </c>
      <c r="G49" s="24"/>
      <c r="H49" s="25">
        <f>Setari!$B$3</f>
        <v>0.25</v>
      </c>
      <c r="I49" s="26" t="str">
        <f t="shared" ref="I49" si="23">IF(G49="","",G49*(1+H49))</f>
        <v/>
      </c>
      <c r="J49" s="22"/>
      <c r="K49" s="23"/>
    </row>
    <row r="50" spans="1:11">
      <c r="A50" s="22" t="s">
        <v>466</v>
      </c>
      <c r="B50" s="22" t="s">
        <v>73</v>
      </c>
      <c r="C50" s="23" t="s">
        <v>467</v>
      </c>
      <c r="D50" s="22" t="s">
        <v>72</v>
      </c>
      <c r="E50" s="22">
        <v>20</v>
      </c>
      <c r="F50" s="22" t="s">
        <v>75</v>
      </c>
      <c r="G50" s="24"/>
      <c r="H50" s="25">
        <f>Setari!$B$3</f>
        <v>0.25</v>
      </c>
      <c r="I50" s="26" t="str">
        <f t="shared" ref="I50" si="24">IF(G50="","",G50*(1+H50))</f>
        <v/>
      </c>
      <c r="J50" s="22"/>
      <c r="K50" s="23"/>
    </row>
    <row r="51" spans="1:11">
      <c r="A51" s="22" t="s">
        <v>465</v>
      </c>
      <c r="B51" s="22" t="s">
        <v>73</v>
      </c>
      <c r="C51" s="23" t="s">
        <v>464</v>
      </c>
      <c r="D51" s="22" t="s">
        <v>72</v>
      </c>
      <c r="E51" s="22">
        <v>20</v>
      </c>
      <c r="F51" s="22" t="s">
        <v>75</v>
      </c>
      <c r="G51" s="24"/>
      <c r="H51" s="25">
        <f>Setari!$B$3</f>
        <v>0.25</v>
      </c>
      <c r="I51" s="26" t="str">
        <f t="shared" ref="I51:I53" si="25">IF(G51="","",G51*(1+H51))</f>
        <v/>
      </c>
      <c r="J51" s="22"/>
      <c r="K51" s="23"/>
    </row>
    <row r="52" spans="1:11">
      <c r="A52" s="22" t="s">
        <v>468</v>
      </c>
      <c r="B52" s="22" t="s">
        <v>73</v>
      </c>
      <c r="C52" s="23" t="s">
        <v>471</v>
      </c>
      <c r="D52" s="22" t="s">
        <v>72</v>
      </c>
      <c r="E52" s="22">
        <v>25</v>
      </c>
      <c r="F52" s="22" t="s">
        <v>75</v>
      </c>
      <c r="G52" s="24"/>
      <c r="H52" s="25">
        <f>Setari!$B$3</f>
        <v>0.25</v>
      </c>
      <c r="I52" s="26" t="str">
        <f t="shared" si="25"/>
        <v/>
      </c>
      <c r="J52" s="22"/>
      <c r="K52" s="23"/>
    </row>
    <row r="53" spans="1:11">
      <c r="A53" s="22" t="s">
        <v>469</v>
      </c>
      <c r="B53" s="22" t="s">
        <v>73</v>
      </c>
      <c r="C53" s="23" t="s">
        <v>472</v>
      </c>
      <c r="D53" s="22" t="s">
        <v>72</v>
      </c>
      <c r="E53" s="22">
        <v>25</v>
      </c>
      <c r="F53" s="22" t="s">
        <v>75</v>
      </c>
      <c r="G53" s="24"/>
      <c r="H53" s="25">
        <f>Setari!$B$3</f>
        <v>0.25</v>
      </c>
      <c r="I53" s="26" t="str">
        <f t="shared" si="25"/>
        <v/>
      </c>
      <c r="J53" s="22"/>
      <c r="K53" s="23"/>
    </row>
    <row r="54" spans="1:11">
      <c r="A54" s="22" t="s">
        <v>470</v>
      </c>
      <c r="B54" s="22" t="s">
        <v>73</v>
      </c>
      <c r="C54" s="23" t="s">
        <v>473</v>
      </c>
      <c r="D54" s="22" t="s">
        <v>72</v>
      </c>
      <c r="E54" s="22">
        <v>25</v>
      </c>
      <c r="F54" s="22" t="s">
        <v>75</v>
      </c>
      <c r="G54" s="24"/>
      <c r="H54" s="25">
        <f>Setari!$B$3</f>
        <v>0.25</v>
      </c>
      <c r="I54" s="26" t="str">
        <f t="shared" ref="I54" si="26">IF(G54="","",G54*(1+H54))</f>
        <v/>
      </c>
      <c r="J54" s="22"/>
      <c r="K54" s="23"/>
    </row>
    <row r="55" spans="1:11">
      <c r="A55" s="22" t="s">
        <v>474</v>
      </c>
      <c r="B55" s="22" t="s">
        <v>73</v>
      </c>
      <c r="C55" s="23" t="s">
        <v>475</v>
      </c>
      <c r="D55" s="22" t="s">
        <v>72</v>
      </c>
      <c r="E55" s="22">
        <v>25</v>
      </c>
      <c r="F55" s="22" t="s">
        <v>75</v>
      </c>
      <c r="G55" s="24"/>
      <c r="H55" s="25">
        <f>Setari!$B$3</f>
        <v>0.25</v>
      </c>
      <c r="I55" s="26" t="str">
        <f t="shared" ref="I55:I59" si="27">IF(G55="","",G55*(1+H55))</f>
        <v/>
      </c>
      <c r="J55" s="22"/>
      <c r="K55" s="23"/>
    </row>
    <row r="56" spans="1:11">
      <c r="A56" s="22" t="s">
        <v>476</v>
      </c>
      <c r="B56" s="22" t="s">
        <v>73</v>
      </c>
      <c r="C56" s="23" t="s">
        <v>477</v>
      </c>
      <c r="D56" s="22" t="s">
        <v>72</v>
      </c>
      <c r="E56" s="22">
        <v>32</v>
      </c>
      <c r="F56" s="22" t="s">
        <v>75</v>
      </c>
      <c r="G56" s="24"/>
      <c r="H56" s="25">
        <f>Setari!$B$3</f>
        <v>0.25</v>
      </c>
      <c r="I56" s="26" t="str">
        <f t="shared" si="27"/>
        <v/>
      </c>
      <c r="J56" s="22"/>
      <c r="K56" s="23"/>
    </row>
    <row r="57" spans="1:11">
      <c r="A57" s="22" t="s">
        <v>478</v>
      </c>
      <c r="B57" s="22" t="s">
        <v>73</v>
      </c>
      <c r="C57" s="23" t="s">
        <v>479</v>
      </c>
      <c r="D57" s="22" t="s">
        <v>72</v>
      </c>
      <c r="E57" s="22">
        <v>32</v>
      </c>
      <c r="F57" s="22" t="s">
        <v>75</v>
      </c>
      <c r="G57" s="24"/>
      <c r="H57" s="25">
        <f>Setari!$B$3</f>
        <v>0.25</v>
      </c>
      <c r="I57" s="26" t="str">
        <f t="shared" ref="I57" si="28">IF(G57="","",G57*(1+H57))</f>
        <v/>
      </c>
      <c r="J57" s="22"/>
      <c r="K57" s="23"/>
    </row>
    <row r="58" spans="1:11">
      <c r="A58" s="22" t="s">
        <v>480</v>
      </c>
      <c r="B58" s="22" t="s">
        <v>73</v>
      </c>
      <c r="C58" s="23" t="s">
        <v>481</v>
      </c>
      <c r="D58" s="22" t="s">
        <v>72</v>
      </c>
      <c r="E58" s="22">
        <v>32</v>
      </c>
      <c r="F58" s="22" t="s">
        <v>75</v>
      </c>
      <c r="G58" s="24"/>
      <c r="H58" s="25">
        <f>Setari!$B$3</f>
        <v>0.25</v>
      </c>
      <c r="I58" s="26" t="str">
        <f t="shared" si="27"/>
        <v/>
      </c>
      <c r="J58" s="22"/>
      <c r="K58" s="23"/>
    </row>
    <row r="59" spans="1:11">
      <c r="A59" s="22" t="s">
        <v>482</v>
      </c>
      <c r="B59" s="22" t="s">
        <v>73</v>
      </c>
      <c r="C59" s="23" t="s">
        <v>483</v>
      </c>
      <c r="D59" s="22" t="s">
        <v>72</v>
      </c>
      <c r="E59" s="22">
        <v>32</v>
      </c>
      <c r="F59" s="22" t="s">
        <v>75</v>
      </c>
      <c r="G59" s="24"/>
      <c r="H59" s="25">
        <f>Setari!$B$3</f>
        <v>0.25</v>
      </c>
      <c r="I59" s="26" t="str">
        <f t="shared" si="27"/>
        <v/>
      </c>
      <c r="J59" s="22"/>
      <c r="K59" s="23"/>
    </row>
    <row r="60" spans="1:11">
      <c r="A60" s="22" t="s">
        <v>484</v>
      </c>
      <c r="B60" s="22" t="s">
        <v>73</v>
      </c>
      <c r="C60" s="23" t="s">
        <v>485</v>
      </c>
      <c r="D60" s="22" t="s">
        <v>72</v>
      </c>
      <c r="E60" s="22">
        <v>32</v>
      </c>
      <c r="F60" s="22" t="s">
        <v>75</v>
      </c>
      <c r="G60" s="24"/>
      <c r="H60" s="25">
        <f>Setari!$B$3</f>
        <v>0.25</v>
      </c>
      <c r="I60" s="26" t="str">
        <f t="shared" ref="I60" si="29">IF(G60="","",G60*(1+H60))</f>
        <v/>
      </c>
      <c r="J60" s="22"/>
      <c r="K60" s="23"/>
    </row>
    <row r="61" spans="1:11">
      <c r="A61" s="22" t="s">
        <v>486</v>
      </c>
      <c r="B61" s="22" t="s">
        <v>73</v>
      </c>
      <c r="C61" s="23" t="s">
        <v>487</v>
      </c>
      <c r="D61" s="22" t="s">
        <v>72</v>
      </c>
      <c r="E61" s="22">
        <v>40</v>
      </c>
      <c r="F61" s="22" t="s">
        <v>75</v>
      </c>
      <c r="G61" s="24"/>
      <c r="H61" s="25">
        <f>Setari!$B$3</f>
        <v>0.25</v>
      </c>
      <c r="I61" s="26" t="str">
        <f>IF(G61="","",G61*(1+H61))</f>
        <v/>
      </c>
      <c r="J61" s="22"/>
      <c r="K61" s="23"/>
    </row>
    <row r="62" spans="1:11">
      <c r="A62" s="22" t="s">
        <v>488</v>
      </c>
      <c r="B62" s="22" t="s">
        <v>73</v>
      </c>
      <c r="C62" s="23" t="s">
        <v>489</v>
      </c>
      <c r="D62" s="22" t="s">
        <v>72</v>
      </c>
      <c r="E62" s="22">
        <v>40</v>
      </c>
      <c r="F62" s="22" t="s">
        <v>75</v>
      </c>
      <c r="G62" s="24"/>
      <c r="H62" s="25">
        <f>Setari!$B$3</f>
        <v>0.25</v>
      </c>
      <c r="I62" s="26" t="str">
        <f t="shared" ref="I62" si="30">IF(G62="","",G62*(1+H62))</f>
        <v/>
      </c>
      <c r="J62" s="22"/>
      <c r="K62" s="23"/>
    </row>
    <row r="63" spans="1:11">
      <c r="A63" s="22" t="s">
        <v>490</v>
      </c>
      <c r="B63" s="22" t="s">
        <v>73</v>
      </c>
      <c r="C63" s="23" t="s">
        <v>491</v>
      </c>
      <c r="D63" s="22" t="s">
        <v>72</v>
      </c>
      <c r="E63" s="22">
        <v>40</v>
      </c>
      <c r="F63" s="22" t="s">
        <v>75</v>
      </c>
      <c r="G63" s="24"/>
      <c r="H63" s="25">
        <f>Setari!$B$3</f>
        <v>0.25</v>
      </c>
      <c r="I63" s="26" t="str">
        <f t="shared" ref="I63" si="31">IF(G63="","",G63*(1+H63))</f>
        <v/>
      </c>
      <c r="J63" s="22"/>
      <c r="K63" s="23"/>
    </row>
    <row r="64" spans="1:11">
      <c r="A64" s="22" t="s">
        <v>492</v>
      </c>
      <c r="B64" s="22" t="s">
        <v>73</v>
      </c>
      <c r="C64" s="23" t="s">
        <v>493</v>
      </c>
      <c r="D64" s="22" t="s">
        <v>72</v>
      </c>
      <c r="E64" s="22">
        <v>40</v>
      </c>
      <c r="F64" s="22" t="s">
        <v>75</v>
      </c>
      <c r="G64" s="24"/>
      <c r="H64" s="25">
        <f>Setari!$B$3</f>
        <v>0.25</v>
      </c>
      <c r="I64" s="26" t="str">
        <f t="shared" ref="I64" si="32">IF(G64="","",G64*(1+H64))</f>
        <v/>
      </c>
      <c r="J64" s="22"/>
      <c r="K64" s="23"/>
    </row>
    <row r="65" spans="1:11">
      <c r="A65" s="22" t="s">
        <v>494</v>
      </c>
      <c r="B65" s="22" t="s">
        <v>73</v>
      </c>
      <c r="C65" s="23" t="s">
        <v>495</v>
      </c>
      <c r="D65" s="22" t="s">
        <v>72</v>
      </c>
      <c r="E65" s="22">
        <v>40</v>
      </c>
      <c r="F65" s="22" t="s">
        <v>75</v>
      </c>
      <c r="G65" s="24"/>
      <c r="H65" s="25">
        <f>Setari!$B$3</f>
        <v>0.25</v>
      </c>
      <c r="I65" s="26" t="str">
        <f t="shared" ref="I65" si="33">IF(G65="","",G65*(1+H65))</f>
        <v/>
      </c>
      <c r="J65" s="22"/>
      <c r="K65" s="23"/>
    </row>
    <row r="66" spans="1:11">
      <c r="A66" s="22" t="s">
        <v>496</v>
      </c>
      <c r="B66" s="22" t="s">
        <v>73</v>
      </c>
      <c r="C66" s="23" t="s">
        <v>497</v>
      </c>
      <c r="D66" s="22" t="s">
        <v>72</v>
      </c>
      <c r="E66" s="22">
        <v>40</v>
      </c>
      <c r="F66" s="22" t="s">
        <v>75</v>
      </c>
      <c r="G66" s="24"/>
      <c r="H66" s="25">
        <f>Setari!$B$3</f>
        <v>0.25</v>
      </c>
      <c r="I66" s="26" t="str">
        <f t="shared" ref="I66" si="34">IF(G66="","",G66*(1+H66))</f>
        <v/>
      </c>
      <c r="J66" s="22"/>
      <c r="K66" s="23"/>
    </row>
    <row r="67" spans="1:11">
      <c r="A67" s="22" t="s">
        <v>498</v>
      </c>
      <c r="B67" s="22" t="s">
        <v>73</v>
      </c>
      <c r="C67" s="23" t="s">
        <v>499</v>
      </c>
      <c r="D67" s="22" t="s">
        <v>72</v>
      </c>
      <c r="E67" s="22">
        <v>40</v>
      </c>
      <c r="F67" s="22" t="s">
        <v>75</v>
      </c>
      <c r="G67" s="24"/>
      <c r="H67" s="25">
        <f>Setari!$B$3</f>
        <v>0.25</v>
      </c>
      <c r="I67" s="26" t="str">
        <f t="shared" ref="I67:I71" si="35">IF(G67="","",G67*(1+H67))</f>
        <v/>
      </c>
      <c r="J67" s="22"/>
      <c r="K67" s="23"/>
    </row>
    <row r="68" spans="1:11">
      <c r="A68" s="22" t="s">
        <v>510</v>
      </c>
      <c r="B68" s="22" t="s">
        <v>73</v>
      </c>
      <c r="C68" s="23" t="s">
        <v>511</v>
      </c>
      <c r="D68" s="22" t="s">
        <v>72</v>
      </c>
      <c r="E68" s="22">
        <v>50</v>
      </c>
      <c r="F68" s="22" t="s">
        <v>75</v>
      </c>
      <c r="G68" s="24"/>
      <c r="H68" s="25">
        <f>Setari!$B$3</f>
        <v>0.25</v>
      </c>
      <c r="I68" s="26" t="str">
        <f t="shared" ref="I68:I69" si="36">IF(G68="","",G68*(1+H68))</f>
        <v/>
      </c>
      <c r="J68" s="22"/>
      <c r="K68" s="23"/>
    </row>
    <row r="69" spans="1:11">
      <c r="A69" s="22" t="s">
        <v>512</v>
      </c>
      <c r="B69" s="22" t="s">
        <v>73</v>
      </c>
      <c r="C69" s="23" t="s">
        <v>513</v>
      </c>
      <c r="D69" s="22" t="s">
        <v>72</v>
      </c>
      <c r="E69" s="22">
        <v>50</v>
      </c>
      <c r="F69" s="22" t="s">
        <v>75</v>
      </c>
      <c r="G69" s="24"/>
      <c r="H69" s="25">
        <f>Setari!$B$3</f>
        <v>0.25</v>
      </c>
      <c r="I69" s="26" t="str">
        <f t="shared" si="36"/>
        <v/>
      </c>
      <c r="J69" s="22"/>
      <c r="K69" s="23"/>
    </row>
    <row r="70" spans="1:11">
      <c r="A70" s="22" t="s">
        <v>514</v>
      </c>
      <c r="B70" s="22" t="s">
        <v>73</v>
      </c>
      <c r="C70" s="23" t="s">
        <v>515</v>
      </c>
      <c r="D70" s="22" t="s">
        <v>72</v>
      </c>
      <c r="E70" s="22">
        <v>50</v>
      </c>
      <c r="F70" s="22" t="s">
        <v>75</v>
      </c>
      <c r="G70" s="24"/>
      <c r="H70" s="25">
        <f>Setari!$B$3</f>
        <v>0.25</v>
      </c>
      <c r="I70" s="26" t="str">
        <f t="shared" ref="I70" si="37">IF(G70="","",G70*(1+H70))</f>
        <v/>
      </c>
      <c r="J70" s="22"/>
      <c r="K70" s="23"/>
    </row>
    <row r="71" spans="1:11">
      <c r="A71" s="22" t="s">
        <v>502</v>
      </c>
      <c r="B71" s="22" t="s">
        <v>73</v>
      </c>
      <c r="C71" s="23" t="s">
        <v>503</v>
      </c>
      <c r="D71" s="22" t="s">
        <v>72</v>
      </c>
      <c r="E71" s="22">
        <v>50</v>
      </c>
      <c r="F71" s="22" t="s">
        <v>75</v>
      </c>
      <c r="G71" s="24"/>
      <c r="H71" s="25">
        <f>Setari!$B$3</f>
        <v>0.25</v>
      </c>
      <c r="I71" s="26" t="str">
        <f t="shared" si="35"/>
        <v/>
      </c>
      <c r="J71" s="22"/>
      <c r="K71" s="23"/>
    </row>
    <row r="72" spans="1:11">
      <c r="A72" s="22" t="s">
        <v>500</v>
      </c>
      <c r="B72" s="22" t="s">
        <v>73</v>
      </c>
      <c r="C72" s="23" t="s">
        <v>501</v>
      </c>
      <c r="D72" s="22" t="s">
        <v>72</v>
      </c>
      <c r="E72" s="22">
        <v>50</v>
      </c>
      <c r="F72" s="22" t="s">
        <v>75</v>
      </c>
      <c r="G72" s="24"/>
      <c r="H72" s="25">
        <f>Setari!$B$3</f>
        <v>0.25</v>
      </c>
      <c r="I72" s="26" t="str">
        <f t="shared" ref="I72" si="38">IF(G72="","",G72*(1+H72))</f>
        <v/>
      </c>
      <c r="J72" s="22"/>
      <c r="K72" s="23"/>
    </row>
    <row r="73" spans="1:11">
      <c r="A73" s="22" t="s">
        <v>504</v>
      </c>
      <c r="B73" s="22" t="s">
        <v>73</v>
      </c>
      <c r="C73" s="23" t="s">
        <v>505</v>
      </c>
      <c r="D73" s="22" t="s">
        <v>72</v>
      </c>
      <c r="E73" s="22">
        <v>50</v>
      </c>
      <c r="F73" s="22" t="s">
        <v>75</v>
      </c>
      <c r="G73" s="24"/>
      <c r="H73" s="25">
        <f>Setari!$B$3</f>
        <v>0.25</v>
      </c>
      <c r="I73" s="26" t="str">
        <f t="shared" ref="I73" si="39">IF(G73="","",G73*(1+H73))</f>
        <v/>
      </c>
      <c r="J73" s="22"/>
      <c r="K73" s="23"/>
    </row>
    <row r="74" spans="1:11">
      <c r="A74" s="22" t="s">
        <v>506</v>
      </c>
      <c r="B74" s="22" t="s">
        <v>73</v>
      </c>
      <c r="C74" s="23" t="s">
        <v>507</v>
      </c>
      <c r="D74" s="22" t="s">
        <v>72</v>
      </c>
      <c r="E74" s="22">
        <v>50</v>
      </c>
      <c r="F74" s="22" t="s">
        <v>75</v>
      </c>
      <c r="G74" s="24"/>
      <c r="H74" s="25">
        <f>Setari!$B$3</f>
        <v>0.25</v>
      </c>
      <c r="I74" s="26" t="str">
        <f t="shared" ref="I74" si="40">IF(G74="","",G74*(1+H74))</f>
        <v/>
      </c>
      <c r="J74" s="22"/>
      <c r="K74" s="23"/>
    </row>
    <row r="75" spans="1:11">
      <c r="A75" s="22" t="s">
        <v>508</v>
      </c>
      <c r="B75" s="22" t="s">
        <v>73</v>
      </c>
      <c r="C75" s="23" t="s">
        <v>509</v>
      </c>
      <c r="D75" s="22" t="s">
        <v>72</v>
      </c>
      <c r="E75" s="22">
        <v>50</v>
      </c>
      <c r="F75" s="22" t="s">
        <v>75</v>
      </c>
      <c r="G75" s="24"/>
      <c r="H75" s="25">
        <f>Setari!$B$3</f>
        <v>0.25</v>
      </c>
      <c r="I75" s="26" t="str">
        <f t="shared" ref="I75:I85" si="41">IF(G75="","",G75*(1+H75))</f>
        <v/>
      </c>
      <c r="J75" s="22"/>
      <c r="K75" s="23"/>
    </row>
    <row r="76" spans="1:11">
      <c r="A76" s="22" t="s">
        <v>516</v>
      </c>
      <c r="B76" s="22" t="s">
        <v>73</v>
      </c>
      <c r="C76" s="23" t="s">
        <v>517</v>
      </c>
      <c r="D76" s="22" t="s">
        <v>72</v>
      </c>
      <c r="E76" s="22">
        <v>65</v>
      </c>
      <c r="F76" s="22" t="s">
        <v>75</v>
      </c>
      <c r="G76" s="24"/>
      <c r="H76" s="25">
        <f>Setari!$B$3</f>
        <v>0.25</v>
      </c>
      <c r="I76" s="26" t="str">
        <f t="shared" si="41"/>
        <v/>
      </c>
      <c r="J76" s="22"/>
      <c r="K76" s="23"/>
    </row>
    <row r="77" spans="1:11">
      <c r="A77" s="22" t="s">
        <v>518</v>
      </c>
      <c r="B77" s="22" t="s">
        <v>73</v>
      </c>
      <c r="C77" s="23" t="s">
        <v>519</v>
      </c>
      <c r="D77" s="22" t="s">
        <v>72</v>
      </c>
      <c r="E77" s="22">
        <v>65</v>
      </c>
      <c r="F77" s="22" t="s">
        <v>75</v>
      </c>
      <c r="G77" s="24"/>
      <c r="H77" s="25">
        <f>Setari!$B$3</f>
        <v>0.25</v>
      </c>
      <c r="I77" s="26" t="str">
        <f t="shared" si="41"/>
        <v/>
      </c>
      <c r="J77" s="22"/>
      <c r="K77" s="23"/>
    </row>
    <row r="78" spans="1:11">
      <c r="A78" s="22" t="s">
        <v>520</v>
      </c>
      <c r="B78" s="22" t="s">
        <v>73</v>
      </c>
      <c r="C78" s="23" t="s">
        <v>521</v>
      </c>
      <c r="D78" s="22" t="s">
        <v>72</v>
      </c>
      <c r="E78" s="22">
        <v>65</v>
      </c>
      <c r="F78" s="22" t="s">
        <v>75</v>
      </c>
      <c r="G78" s="24"/>
      <c r="H78" s="25">
        <f>Setari!$B$3</f>
        <v>0.25</v>
      </c>
      <c r="I78" s="26" t="str">
        <f t="shared" si="41"/>
        <v/>
      </c>
      <c r="J78" s="22"/>
      <c r="K78" s="23"/>
    </row>
    <row r="79" spans="1:11">
      <c r="A79" s="22" t="s">
        <v>522</v>
      </c>
      <c r="B79" s="22" t="s">
        <v>73</v>
      </c>
      <c r="C79" s="23" t="s">
        <v>523</v>
      </c>
      <c r="D79" s="22" t="s">
        <v>72</v>
      </c>
      <c r="E79" s="22">
        <v>65</v>
      </c>
      <c r="F79" s="22" t="s">
        <v>75</v>
      </c>
      <c r="G79" s="24"/>
      <c r="H79" s="25">
        <f>Setari!$B$3</f>
        <v>0.25</v>
      </c>
      <c r="I79" s="26" t="str">
        <f t="shared" si="41"/>
        <v/>
      </c>
      <c r="J79" s="22"/>
      <c r="K79" s="23"/>
    </row>
    <row r="80" spans="1:11">
      <c r="A80" s="22" t="s">
        <v>524</v>
      </c>
      <c r="B80" s="22" t="s">
        <v>73</v>
      </c>
      <c r="C80" s="23" t="s">
        <v>525</v>
      </c>
      <c r="D80" s="22" t="s">
        <v>72</v>
      </c>
      <c r="E80" s="22">
        <v>65</v>
      </c>
      <c r="F80" s="22" t="s">
        <v>75</v>
      </c>
      <c r="G80" s="24"/>
      <c r="H80" s="25">
        <f>Setari!$B$3</f>
        <v>0.25</v>
      </c>
      <c r="I80" s="26" t="str">
        <f t="shared" si="41"/>
        <v/>
      </c>
      <c r="J80" s="22"/>
      <c r="K80" s="23"/>
    </row>
    <row r="81" spans="1:11">
      <c r="A81" s="22" t="s">
        <v>526</v>
      </c>
      <c r="B81" s="22" t="s">
        <v>73</v>
      </c>
      <c r="C81" s="23" t="s">
        <v>527</v>
      </c>
      <c r="D81" s="22" t="s">
        <v>72</v>
      </c>
      <c r="E81" s="22">
        <v>80</v>
      </c>
      <c r="F81" s="22" t="s">
        <v>75</v>
      </c>
      <c r="G81" s="24"/>
      <c r="H81" s="25">
        <f>Setari!$B$3</f>
        <v>0.25</v>
      </c>
      <c r="I81" s="26" t="str">
        <f t="shared" si="41"/>
        <v/>
      </c>
      <c r="J81" s="22"/>
      <c r="K81" s="23"/>
    </row>
    <row r="82" spans="1:11">
      <c r="A82" s="22" t="s">
        <v>528</v>
      </c>
      <c r="B82" s="22" t="s">
        <v>73</v>
      </c>
      <c r="C82" s="23" t="s">
        <v>529</v>
      </c>
      <c r="D82" s="22" t="s">
        <v>72</v>
      </c>
      <c r="E82" s="22">
        <v>80</v>
      </c>
      <c r="F82" s="22" t="s">
        <v>75</v>
      </c>
      <c r="G82" s="24"/>
      <c r="H82" s="25">
        <f>Setari!$B$3</f>
        <v>0.25</v>
      </c>
      <c r="I82" s="26" t="str">
        <f t="shared" si="41"/>
        <v/>
      </c>
      <c r="J82" s="22"/>
      <c r="K82" s="23"/>
    </row>
    <row r="83" spans="1:11">
      <c r="A83" s="22" t="s">
        <v>530</v>
      </c>
      <c r="B83" s="22" t="s">
        <v>73</v>
      </c>
      <c r="C83" s="23" t="s">
        <v>531</v>
      </c>
      <c r="D83" s="22" t="s">
        <v>72</v>
      </c>
      <c r="E83" s="22">
        <v>80</v>
      </c>
      <c r="F83" s="22" t="s">
        <v>75</v>
      </c>
      <c r="G83" s="24"/>
      <c r="H83" s="25">
        <f>Setari!$B$3</f>
        <v>0.25</v>
      </c>
      <c r="I83" s="26" t="str">
        <f t="shared" si="41"/>
        <v/>
      </c>
      <c r="J83" s="22"/>
      <c r="K83" s="23"/>
    </row>
    <row r="84" spans="1:11">
      <c r="A84" s="22" t="s">
        <v>532</v>
      </c>
      <c r="B84" s="22" t="s">
        <v>73</v>
      </c>
      <c r="C84" s="23" t="s">
        <v>533</v>
      </c>
      <c r="D84" s="22" t="s">
        <v>72</v>
      </c>
      <c r="E84" s="22">
        <v>80</v>
      </c>
      <c r="F84" s="22" t="s">
        <v>75</v>
      </c>
      <c r="G84" s="24"/>
      <c r="H84" s="25">
        <f>Setari!$B$3</f>
        <v>0.25</v>
      </c>
      <c r="I84" s="26" t="str">
        <f t="shared" si="41"/>
        <v/>
      </c>
      <c r="J84" s="22"/>
      <c r="K84" s="23"/>
    </row>
    <row r="85" spans="1:11">
      <c r="A85" s="22" t="s">
        <v>534</v>
      </c>
      <c r="B85" s="22" t="s">
        <v>73</v>
      </c>
      <c r="C85" s="23" t="s">
        <v>535</v>
      </c>
      <c r="D85" s="22" t="s">
        <v>72</v>
      </c>
      <c r="E85" s="22">
        <v>80</v>
      </c>
      <c r="F85" s="22" t="s">
        <v>75</v>
      </c>
      <c r="G85" s="24"/>
      <c r="H85" s="25">
        <f>Setari!$B$3</f>
        <v>0.25</v>
      </c>
      <c r="I85" s="26" t="str">
        <f t="shared" si="41"/>
        <v/>
      </c>
      <c r="J85" s="22"/>
      <c r="K85" s="23"/>
    </row>
    <row r="86" spans="1:11">
      <c r="A86" s="22" t="s">
        <v>536</v>
      </c>
      <c r="B86" s="22" t="s">
        <v>73</v>
      </c>
      <c r="C86" s="23" t="s">
        <v>537</v>
      </c>
      <c r="D86" s="22" t="s">
        <v>72</v>
      </c>
      <c r="E86" s="22">
        <v>80</v>
      </c>
      <c r="F86" s="22" t="s">
        <v>75</v>
      </c>
      <c r="G86" s="24"/>
      <c r="H86" s="25">
        <f>Setari!$B$3</f>
        <v>0.25</v>
      </c>
      <c r="I86" s="26" t="str">
        <f t="shared" ref="I86:I89" si="42">IF(G86="","",G86*(1+H86))</f>
        <v/>
      </c>
      <c r="J86" s="22"/>
      <c r="K86" s="23"/>
    </row>
    <row r="87" spans="1:11">
      <c r="A87" s="22" t="s">
        <v>538</v>
      </c>
      <c r="B87" s="22" t="s">
        <v>73</v>
      </c>
      <c r="C87" s="23" t="s">
        <v>539</v>
      </c>
      <c r="D87" s="22" t="s">
        <v>72</v>
      </c>
      <c r="E87" s="22">
        <v>100</v>
      </c>
      <c r="F87" s="22" t="s">
        <v>75</v>
      </c>
      <c r="G87" s="24"/>
      <c r="H87" s="25">
        <f>Setari!$B$3</f>
        <v>0.25</v>
      </c>
      <c r="I87" s="26" t="str">
        <f t="shared" si="42"/>
        <v/>
      </c>
      <c r="J87" s="22"/>
      <c r="K87" s="23"/>
    </row>
    <row r="88" spans="1:11">
      <c r="A88" s="22" t="s">
        <v>540</v>
      </c>
      <c r="B88" s="22" t="s">
        <v>73</v>
      </c>
      <c r="C88" s="23" t="s">
        <v>541</v>
      </c>
      <c r="D88" s="22" t="s">
        <v>72</v>
      </c>
      <c r="E88" s="22">
        <v>100</v>
      </c>
      <c r="F88" s="22" t="s">
        <v>75</v>
      </c>
      <c r="G88" s="24"/>
      <c r="H88" s="25">
        <f>Setari!$B$3</f>
        <v>0.25</v>
      </c>
      <c r="I88" s="26" t="str">
        <f t="shared" si="42"/>
        <v/>
      </c>
      <c r="J88" s="22"/>
      <c r="K88" s="23"/>
    </row>
    <row r="89" spans="1:11">
      <c r="A89" s="22" t="s">
        <v>542</v>
      </c>
      <c r="B89" s="22" t="s">
        <v>73</v>
      </c>
      <c r="C89" s="23" t="s">
        <v>543</v>
      </c>
      <c r="D89" s="22" t="s">
        <v>72</v>
      </c>
      <c r="E89" s="22">
        <v>100</v>
      </c>
      <c r="F89" s="22" t="s">
        <v>75</v>
      </c>
      <c r="G89" s="24"/>
      <c r="H89" s="25">
        <f>Setari!$B$3</f>
        <v>0.25</v>
      </c>
      <c r="I89" s="26" t="str">
        <f t="shared" si="42"/>
        <v/>
      </c>
      <c r="J89" s="22"/>
      <c r="K89" s="23"/>
    </row>
    <row r="90" spans="1:11">
      <c r="A90" s="22" t="s">
        <v>544</v>
      </c>
      <c r="B90" s="22" t="s">
        <v>73</v>
      </c>
      <c r="C90" s="23" t="s">
        <v>545</v>
      </c>
      <c r="D90" s="22" t="s">
        <v>72</v>
      </c>
      <c r="E90" s="22">
        <v>100</v>
      </c>
      <c r="F90" s="22" t="s">
        <v>75</v>
      </c>
      <c r="G90" s="24"/>
      <c r="H90" s="25">
        <f>Setari!$B$3</f>
        <v>0.25</v>
      </c>
      <c r="I90" s="26" t="str">
        <f t="shared" ref="I90" si="43">IF(G90="","",G90*(1+H90))</f>
        <v/>
      </c>
      <c r="J90" s="22"/>
      <c r="K90" s="23"/>
    </row>
    <row r="91" spans="1:11">
      <c r="A91" s="22" t="s">
        <v>547</v>
      </c>
      <c r="B91" s="22" t="s">
        <v>73</v>
      </c>
      <c r="C91" s="23" t="s">
        <v>548</v>
      </c>
      <c r="D91" s="22" t="s">
        <v>72</v>
      </c>
      <c r="E91" s="22">
        <v>125</v>
      </c>
      <c r="F91" s="22" t="s">
        <v>75</v>
      </c>
      <c r="G91" s="24"/>
      <c r="H91" s="25">
        <v>0.25</v>
      </c>
      <c r="I91" s="26" t="s">
        <v>546</v>
      </c>
      <c r="J91" s="22"/>
      <c r="K91" s="23"/>
    </row>
    <row r="92" spans="1:11">
      <c r="A92" s="22" t="s">
        <v>551</v>
      </c>
      <c r="B92" s="22" t="s">
        <v>73</v>
      </c>
      <c r="C92" s="23" t="s">
        <v>552</v>
      </c>
      <c r="D92" s="22" t="s">
        <v>72</v>
      </c>
      <c r="E92" s="22">
        <v>125</v>
      </c>
      <c r="F92" s="22" t="s">
        <v>75</v>
      </c>
      <c r="G92" s="24"/>
      <c r="H92" s="25">
        <v>0.25</v>
      </c>
      <c r="I92" s="26" t="s">
        <v>546</v>
      </c>
      <c r="J92" s="22"/>
      <c r="K92" s="23"/>
    </row>
    <row r="93" spans="1:11">
      <c r="A93" s="22" t="s">
        <v>549</v>
      </c>
      <c r="B93" s="22" t="s">
        <v>73</v>
      </c>
      <c r="C93" s="23" t="s">
        <v>550</v>
      </c>
      <c r="D93" s="22" t="s">
        <v>72</v>
      </c>
      <c r="E93" s="22">
        <v>125</v>
      </c>
      <c r="F93" s="22" t="s">
        <v>75</v>
      </c>
      <c r="G93" s="24"/>
      <c r="H93" s="25">
        <v>0.25</v>
      </c>
      <c r="I93" s="26" t="s">
        <v>546</v>
      </c>
      <c r="J93" s="22"/>
      <c r="K93" s="23"/>
    </row>
    <row r="94" spans="1:11">
      <c r="A94" s="22" t="s">
        <v>555</v>
      </c>
      <c r="B94" s="22" t="s">
        <v>73</v>
      </c>
      <c r="C94" s="23" t="s">
        <v>556</v>
      </c>
      <c r="D94" s="22" t="s">
        <v>72</v>
      </c>
      <c r="E94" s="22">
        <v>150</v>
      </c>
      <c r="F94" s="22" t="s">
        <v>75</v>
      </c>
      <c r="G94" s="24"/>
      <c r="H94" s="25">
        <v>0.25</v>
      </c>
      <c r="I94" s="26" t="s">
        <v>546</v>
      </c>
      <c r="J94" s="22"/>
      <c r="K94" s="23"/>
    </row>
    <row r="95" spans="1:11">
      <c r="A95" s="22" t="s">
        <v>553</v>
      </c>
      <c r="B95" s="22" t="s">
        <v>73</v>
      </c>
      <c r="C95" s="23" t="s">
        <v>554</v>
      </c>
      <c r="D95" s="22" t="s">
        <v>72</v>
      </c>
      <c r="E95" s="22">
        <v>150</v>
      </c>
      <c r="F95" s="22" t="s">
        <v>75</v>
      </c>
      <c r="G95" s="24"/>
      <c r="H95" s="25">
        <v>0.25</v>
      </c>
      <c r="I95" s="26" t="s">
        <v>546</v>
      </c>
      <c r="J95" s="22"/>
      <c r="K95" s="23"/>
    </row>
    <row r="96" spans="1:11">
      <c r="A96" s="22" t="s">
        <v>557</v>
      </c>
      <c r="B96" s="22" t="s">
        <v>73</v>
      </c>
      <c r="C96" s="23" t="s">
        <v>558</v>
      </c>
      <c r="D96" s="22" t="s">
        <v>72</v>
      </c>
      <c r="E96" s="22">
        <v>200</v>
      </c>
      <c r="F96" s="22" t="s">
        <v>75</v>
      </c>
      <c r="G96" s="24"/>
      <c r="H96" s="25">
        <v>0.25</v>
      </c>
      <c r="I96" s="26" t="s">
        <v>546</v>
      </c>
      <c r="J96" s="22"/>
      <c r="K96" s="23"/>
    </row>
    <row r="97" spans="1:11">
      <c r="A97" s="22" t="s">
        <v>559</v>
      </c>
      <c r="B97" s="22" t="s">
        <v>73</v>
      </c>
      <c r="C97" s="23" t="s">
        <v>560</v>
      </c>
      <c r="D97" s="22" t="s">
        <v>72</v>
      </c>
      <c r="E97" s="22">
        <v>200</v>
      </c>
      <c r="F97" s="22" t="s">
        <v>75</v>
      </c>
      <c r="G97" s="24"/>
      <c r="H97" s="25">
        <v>0.25</v>
      </c>
      <c r="I97" s="26" t="s">
        <v>546</v>
      </c>
      <c r="J97" s="22"/>
      <c r="K97" s="23"/>
    </row>
    <row r="98" spans="1:11">
      <c r="A98" s="22" t="s">
        <v>563</v>
      </c>
      <c r="B98" s="22" t="s">
        <v>73</v>
      </c>
      <c r="C98" s="23" t="s">
        <v>564</v>
      </c>
      <c r="D98" s="22" t="s">
        <v>72</v>
      </c>
      <c r="E98" s="22">
        <v>250</v>
      </c>
      <c r="F98" s="22" t="s">
        <v>75</v>
      </c>
      <c r="G98" s="24"/>
      <c r="H98" s="25">
        <v>0.25</v>
      </c>
      <c r="I98" s="26" t="s">
        <v>546</v>
      </c>
      <c r="J98" s="22"/>
      <c r="K98" s="23"/>
    </row>
    <row r="99" spans="1:11">
      <c r="A99" s="22" t="s">
        <v>561</v>
      </c>
      <c r="B99" s="22" t="s">
        <v>73</v>
      </c>
      <c r="C99" s="23" t="s">
        <v>562</v>
      </c>
      <c r="D99" s="22" t="s">
        <v>72</v>
      </c>
      <c r="E99" s="22">
        <v>250</v>
      </c>
      <c r="F99" s="22" t="s">
        <v>75</v>
      </c>
      <c r="G99" s="24"/>
      <c r="H99" s="25">
        <v>0.25</v>
      </c>
      <c r="I99" s="26" t="s">
        <v>546</v>
      </c>
      <c r="J99" s="22"/>
      <c r="K99" s="23"/>
    </row>
    <row r="100" spans="1:11">
      <c r="A100" s="22" t="s">
        <v>565</v>
      </c>
      <c r="B100" s="22" t="s">
        <v>73</v>
      </c>
      <c r="C100" s="23" t="s">
        <v>566</v>
      </c>
      <c r="D100" s="22" t="s">
        <v>72</v>
      </c>
      <c r="E100" s="22">
        <v>300</v>
      </c>
      <c r="F100" s="22" t="s">
        <v>75</v>
      </c>
      <c r="G100" s="24"/>
      <c r="H100" s="25">
        <v>0.25</v>
      </c>
      <c r="I100" s="26" t="s">
        <v>546</v>
      </c>
      <c r="J100" s="22"/>
      <c r="K100" s="23"/>
    </row>
    <row r="101" spans="1:11">
      <c r="A101" s="22" t="s">
        <v>80</v>
      </c>
      <c r="B101" s="22" t="s">
        <v>71</v>
      </c>
      <c r="C101" s="23" t="s">
        <v>81</v>
      </c>
      <c r="D101" s="22" t="s">
        <v>74</v>
      </c>
      <c r="E101" s="22">
        <v>15</v>
      </c>
      <c r="F101" s="22" t="s">
        <v>70</v>
      </c>
      <c r="G101" s="24"/>
      <c r="H101" s="25">
        <f>Setari!$B$3</f>
        <v>0.25</v>
      </c>
      <c r="I101" s="26" t="str">
        <f t="shared" si="0"/>
        <v/>
      </c>
      <c r="J101" s="22"/>
      <c r="K101" s="23"/>
    </row>
    <row r="102" spans="1:11">
      <c r="A102" s="22" t="s">
        <v>82</v>
      </c>
      <c r="B102" s="22" t="s">
        <v>71</v>
      </c>
      <c r="C102" s="23" t="s">
        <v>83</v>
      </c>
      <c r="D102" s="22" t="s">
        <v>74</v>
      </c>
      <c r="E102" s="22">
        <v>20</v>
      </c>
      <c r="F102" s="22" t="s">
        <v>70</v>
      </c>
      <c r="G102" s="24">
        <v>14.08</v>
      </c>
      <c r="H102" s="25">
        <f>Setari!$B$3</f>
        <v>0.25</v>
      </c>
      <c r="I102" s="26">
        <f t="shared" si="0"/>
        <v>17.600000000000001</v>
      </c>
      <c r="J102" s="22"/>
      <c r="K102" s="23"/>
    </row>
    <row r="103" spans="1:11">
      <c r="A103" s="22" t="s">
        <v>84</v>
      </c>
      <c r="B103" s="22" t="s">
        <v>71</v>
      </c>
      <c r="C103" s="23" t="s">
        <v>85</v>
      </c>
      <c r="D103" s="22" t="s">
        <v>74</v>
      </c>
      <c r="E103" s="22">
        <v>25</v>
      </c>
      <c r="F103" s="22" t="s">
        <v>70</v>
      </c>
      <c r="G103" s="24">
        <v>18</v>
      </c>
      <c r="H103" s="25">
        <f>Setari!$B$3</f>
        <v>0.25</v>
      </c>
      <c r="I103" s="26">
        <f t="shared" si="0"/>
        <v>22.5</v>
      </c>
      <c r="J103" s="22"/>
      <c r="K103" s="23"/>
    </row>
    <row r="104" spans="1:11">
      <c r="A104" s="22" t="s">
        <v>86</v>
      </c>
      <c r="B104" s="22" t="s">
        <v>71</v>
      </c>
      <c r="C104" s="23" t="s">
        <v>87</v>
      </c>
      <c r="D104" s="22" t="s">
        <v>74</v>
      </c>
      <c r="E104" s="22">
        <v>32</v>
      </c>
      <c r="F104" s="22" t="s">
        <v>70</v>
      </c>
      <c r="G104" s="24">
        <v>27.5</v>
      </c>
      <c r="H104" s="25">
        <f>Setari!$B$3</f>
        <v>0.25</v>
      </c>
      <c r="I104" s="26">
        <f t="shared" si="0"/>
        <v>34.375</v>
      </c>
      <c r="J104" s="22"/>
      <c r="K104" s="23"/>
    </row>
    <row r="105" spans="1:11">
      <c r="A105" s="22" t="s">
        <v>88</v>
      </c>
      <c r="B105" s="22" t="s">
        <v>71</v>
      </c>
      <c r="C105" s="23" t="s">
        <v>89</v>
      </c>
      <c r="D105" s="22" t="s">
        <v>74</v>
      </c>
      <c r="E105" s="22">
        <v>40</v>
      </c>
      <c r="F105" s="22" t="s">
        <v>70</v>
      </c>
      <c r="G105" s="24">
        <v>32</v>
      </c>
      <c r="H105" s="25">
        <f>Setari!$B$3</f>
        <v>0.25</v>
      </c>
      <c r="I105" s="26">
        <f t="shared" si="0"/>
        <v>40</v>
      </c>
      <c r="J105" s="22"/>
      <c r="K105" s="23"/>
    </row>
    <row r="106" spans="1:11">
      <c r="A106" s="22" t="s">
        <v>49</v>
      </c>
      <c r="B106" s="22" t="s">
        <v>71</v>
      </c>
      <c r="C106" s="23" t="s">
        <v>90</v>
      </c>
      <c r="D106" s="22" t="s">
        <v>74</v>
      </c>
      <c r="E106" s="22">
        <v>50</v>
      </c>
      <c r="F106" s="22" t="s">
        <v>70</v>
      </c>
      <c r="G106" s="24">
        <v>48</v>
      </c>
      <c r="H106" s="25">
        <f>Setari!$B$3</f>
        <v>0.25</v>
      </c>
      <c r="I106" s="26">
        <f t="shared" si="0"/>
        <v>60</v>
      </c>
      <c r="J106" s="22"/>
      <c r="K106" s="23"/>
    </row>
    <row r="107" spans="1:11">
      <c r="A107" s="22" t="s">
        <v>584</v>
      </c>
      <c r="B107" s="22" t="s">
        <v>71</v>
      </c>
      <c r="C107" s="23" t="s">
        <v>590</v>
      </c>
      <c r="D107" s="22" t="s">
        <v>74</v>
      </c>
      <c r="E107" s="22">
        <v>65</v>
      </c>
      <c r="F107" s="22" t="s">
        <v>70</v>
      </c>
      <c r="G107" s="24">
        <v>84.8</v>
      </c>
      <c r="H107" s="25">
        <f>Setari!$B$3</f>
        <v>0.25</v>
      </c>
      <c r="I107" s="26">
        <f t="shared" si="0"/>
        <v>106</v>
      </c>
      <c r="J107" s="22"/>
      <c r="K107" s="23"/>
    </row>
    <row r="108" spans="1:11">
      <c r="A108" s="22" t="s">
        <v>585</v>
      </c>
      <c r="B108" s="22" t="s">
        <v>71</v>
      </c>
      <c r="C108" s="23" t="s">
        <v>591</v>
      </c>
      <c r="D108" s="22" t="s">
        <v>74</v>
      </c>
      <c r="E108" s="22">
        <v>80</v>
      </c>
      <c r="F108" s="22" t="s">
        <v>70</v>
      </c>
      <c r="G108" s="24">
        <v>142.24</v>
      </c>
      <c r="H108" s="25">
        <f>Setari!$B$3</f>
        <v>0.25</v>
      </c>
      <c r="I108" s="26">
        <f t="shared" si="0"/>
        <v>177.8</v>
      </c>
      <c r="J108" s="22"/>
      <c r="K108" s="23"/>
    </row>
    <row r="109" spans="1:11">
      <c r="A109" s="22" t="s">
        <v>586</v>
      </c>
      <c r="B109" s="22" t="s">
        <v>71</v>
      </c>
      <c r="C109" s="23" t="s">
        <v>592</v>
      </c>
      <c r="D109" s="22" t="s">
        <v>74</v>
      </c>
      <c r="E109" s="22">
        <v>100</v>
      </c>
      <c r="F109" s="22" t="s">
        <v>70</v>
      </c>
      <c r="G109" s="24">
        <v>190</v>
      </c>
      <c r="H109" s="25">
        <f>Setari!$B$3</f>
        <v>0.25</v>
      </c>
      <c r="I109" s="26">
        <f t="shared" si="0"/>
        <v>237.5</v>
      </c>
      <c r="J109" s="22"/>
      <c r="K109" s="23"/>
    </row>
    <row r="110" spans="1:11">
      <c r="A110" s="22" t="s">
        <v>587</v>
      </c>
      <c r="B110" s="22" t="s">
        <v>71</v>
      </c>
      <c r="C110" s="23" t="s">
        <v>593</v>
      </c>
      <c r="D110" s="22" t="s">
        <v>74</v>
      </c>
      <c r="E110" s="22">
        <v>125</v>
      </c>
      <c r="F110" s="22" t="s">
        <v>70</v>
      </c>
      <c r="G110" s="24"/>
      <c r="H110" s="25">
        <f>Setari!$B$3</f>
        <v>0.25</v>
      </c>
      <c r="I110" s="26" t="str">
        <f t="shared" si="0"/>
        <v/>
      </c>
      <c r="J110" s="22"/>
      <c r="K110" s="23"/>
    </row>
    <row r="111" spans="1:11">
      <c r="A111" s="22" t="s">
        <v>588</v>
      </c>
      <c r="B111" s="22" t="s">
        <v>71</v>
      </c>
      <c r="C111" s="23" t="s">
        <v>594</v>
      </c>
      <c r="D111" s="22" t="s">
        <v>74</v>
      </c>
      <c r="E111" s="22">
        <v>150</v>
      </c>
      <c r="F111" s="22" t="s">
        <v>70</v>
      </c>
      <c r="G111" s="24">
        <v>533.91999999999996</v>
      </c>
      <c r="H111" s="25">
        <f>Setari!$B$3</f>
        <v>0.25</v>
      </c>
      <c r="I111" s="26">
        <f t="shared" si="0"/>
        <v>667.4</v>
      </c>
      <c r="J111" s="22"/>
      <c r="K111" s="23"/>
    </row>
    <row r="112" spans="1:11">
      <c r="A112" s="22" t="s">
        <v>589</v>
      </c>
      <c r="B112" s="22" t="s">
        <v>71</v>
      </c>
      <c r="C112" s="23" t="s">
        <v>595</v>
      </c>
      <c r="D112" s="22" t="s">
        <v>74</v>
      </c>
      <c r="E112" s="22">
        <v>200</v>
      </c>
      <c r="F112" s="22" t="s">
        <v>70</v>
      </c>
      <c r="G112" s="24">
        <v>1710</v>
      </c>
      <c r="H112" s="25">
        <f>Setari!$B$3</f>
        <v>0.25</v>
      </c>
      <c r="I112" s="26">
        <f t="shared" ref="I112" si="44">IF(G112="","",G112*(1+H112))</f>
        <v>2137.5</v>
      </c>
      <c r="J112" s="22"/>
      <c r="K112" s="23"/>
    </row>
    <row r="113" spans="1:11">
      <c r="A113" s="22" t="s">
        <v>596</v>
      </c>
      <c r="B113" s="22" t="s">
        <v>71</v>
      </c>
      <c r="C113" s="23" t="s">
        <v>597</v>
      </c>
      <c r="D113" s="22" t="s">
        <v>74</v>
      </c>
      <c r="E113" s="22">
        <v>250</v>
      </c>
      <c r="F113" s="22" t="s">
        <v>70</v>
      </c>
      <c r="G113" s="24"/>
      <c r="H113" s="25">
        <f>Setari!$B$3</f>
        <v>0.25</v>
      </c>
      <c r="I113" s="26" t="str">
        <f t="shared" ref="I113" si="45">IF(G113="","",G113*(1+H113))</f>
        <v/>
      </c>
      <c r="J113" s="22"/>
      <c r="K113" s="23"/>
    </row>
    <row r="114" spans="1:11">
      <c r="A114" s="22" t="s">
        <v>598</v>
      </c>
      <c r="B114" s="22" t="s">
        <v>71</v>
      </c>
      <c r="C114" s="23" t="s">
        <v>599</v>
      </c>
      <c r="D114" s="22" t="s">
        <v>74</v>
      </c>
      <c r="E114" s="22">
        <v>300</v>
      </c>
      <c r="F114" s="22" t="s">
        <v>70</v>
      </c>
      <c r="G114" s="24"/>
      <c r="H114" s="25">
        <f>Setari!$B$3</f>
        <v>0.25</v>
      </c>
      <c r="I114" s="26" t="str">
        <f t="shared" ref="I114" si="46">IF(G114="","",G114*(1+H114))</f>
        <v/>
      </c>
      <c r="J114" s="22"/>
      <c r="K114" s="23"/>
    </row>
    <row r="115" spans="1:11">
      <c r="A115" s="22" t="s">
        <v>573</v>
      </c>
      <c r="B115" s="22" t="s">
        <v>71</v>
      </c>
      <c r="C115" s="23" t="s">
        <v>567</v>
      </c>
      <c r="D115" s="22" t="s">
        <v>72</v>
      </c>
      <c r="E115" s="22">
        <v>15</v>
      </c>
      <c r="F115" s="22" t="s">
        <v>70</v>
      </c>
      <c r="G115" s="24"/>
      <c r="H115" s="25">
        <f>Setari!$B$3</f>
        <v>0.25</v>
      </c>
      <c r="I115" s="26" t="str">
        <f t="shared" si="0"/>
        <v/>
      </c>
      <c r="J115" s="22"/>
      <c r="K115" s="23"/>
    </row>
    <row r="116" spans="1:11">
      <c r="A116" s="22" t="s">
        <v>574</v>
      </c>
      <c r="B116" s="22" t="s">
        <v>71</v>
      </c>
      <c r="C116" s="23" t="s">
        <v>568</v>
      </c>
      <c r="D116" s="22" t="s">
        <v>72</v>
      </c>
      <c r="E116" s="22">
        <v>20</v>
      </c>
      <c r="F116" s="22" t="s">
        <v>70</v>
      </c>
      <c r="G116" s="24"/>
      <c r="H116" s="25">
        <f>Setari!$B$3</f>
        <v>0.25</v>
      </c>
      <c r="I116" s="26" t="str">
        <f t="shared" si="0"/>
        <v/>
      </c>
      <c r="J116" s="22"/>
      <c r="K116" s="23"/>
    </row>
    <row r="117" spans="1:11">
      <c r="A117" s="22" t="s">
        <v>575</v>
      </c>
      <c r="B117" s="22" t="s">
        <v>71</v>
      </c>
      <c r="C117" s="23" t="s">
        <v>569</v>
      </c>
      <c r="D117" s="22" t="s">
        <v>72</v>
      </c>
      <c r="E117" s="22">
        <v>25</v>
      </c>
      <c r="F117" s="22" t="s">
        <v>70</v>
      </c>
      <c r="G117" s="24"/>
      <c r="H117" s="25">
        <f>Setari!$B$3</f>
        <v>0.25</v>
      </c>
      <c r="I117" s="26" t="str">
        <f t="shared" si="0"/>
        <v/>
      </c>
      <c r="J117" s="22"/>
      <c r="K117" s="23"/>
    </row>
    <row r="118" spans="1:11">
      <c r="A118" s="22" t="s">
        <v>576</v>
      </c>
      <c r="B118" s="22" t="s">
        <v>71</v>
      </c>
      <c r="C118" s="23" t="s">
        <v>570</v>
      </c>
      <c r="D118" s="22" t="s">
        <v>72</v>
      </c>
      <c r="E118" s="22">
        <v>32</v>
      </c>
      <c r="F118" s="22" t="s">
        <v>70</v>
      </c>
      <c r="G118" s="24"/>
      <c r="H118" s="25">
        <f>Setari!$B$3</f>
        <v>0.25</v>
      </c>
      <c r="I118" s="26" t="str">
        <f t="shared" si="0"/>
        <v/>
      </c>
      <c r="J118" s="22"/>
      <c r="K118" s="23"/>
    </row>
    <row r="119" spans="1:11">
      <c r="A119" s="22" t="s">
        <v>577</v>
      </c>
      <c r="B119" s="22" t="s">
        <v>71</v>
      </c>
      <c r="C119" s="23" t="s">
        <v>571</v>
      </c>
      <c r="D119" s="22" t="s">
        <v>72</v>
      </c>
      <c r="E119" s="22">
        <v>40</v>
      </c>
      <c r="F119" s="22" t="s">
        <v>70</v>
      </c>
      <c r="G119" s="24"/>
      <c r="H119" s="25">
        <f>Setari!$B$3</f>
        <v>0.25</v>
      </c>
      <c r="I119" s="26" t="str">
        <f t="shared" si="0"/>
        <v/>
      </c>
      <c r="J119" s="22"/>
      <c r="K119" s="23"/>
    </row>
    <row r="120" spans="1:11">
      <c r="A120" s="22" t="s">
        <v>578</v>
      </c>
      <c r="B120" s="22" t="s">
        <v>71</v>
      </c>
      <c r="C120" s="23" t="s">
        <v>572</v>
      </c>
      <c r="D120" s="22" t="s">
        <v>72</v>
      </c>
      <c r="E120" s="22">
        <v>50</v>
      </c>
      <c r="F120" s="22" t="s">
        <v>70</v>
      </c>
      <c r="G120" s="24"/>
      <c r="H120" s="25">
        <f>Setari!$B$3</f>
        <v>0.25</v>
      </c>
      <c r="I120" s="26" t="str">
        <f t="shared" si="0"/>
        <v/>
      </c>
      <c r="J120" s="22"/>
      <c r="K120" s="23"/>
    </row>
    <row r="121" spans="1:11">
      <c r="A121" s="22" t="s">
        <v>600</v>
      </c>
      <c r="B121" s="22" t="s">
        <v>71</v>
      </c>
      <c r="C121" s="23" t="s">
        <v>579</v>
      </c>
      <c r="D121" s="22" t="s">
        <v>72</v>
      </c>
      <c r="E121" s="22">
        <v>65</v>
      </c>
      <c r="F121" s="22" t="s">
        <v>70</v>
      </c>
      <c r="G121" s="24"/>
      <c r="H121" s="25">
        <f>Setari!$B$3</f>
        <v>0.25</v>
      </c>
      <c r="I121" s="26" t="str">
        <f t="shared" si="0"/>
        <v/>
      </c>
      <c r="J121" s="22"/>
      <c r="K121" s="23"/>
    </row>
    <row r="122" spans="1:11">
      <c r="A122" s="22" t="s">
        <v>601</v>
      </c>
      <c r="B122" s="22" t="s">
        <v>71</v>
      </c>
      <c r="C122" s="23" t="s">
        <v>580</v>
      </c>
      <c r="D122" s="22" t="s">
        <v>72</v>
      </c>
      <c r="E122" s="22">
        <v>80</v>
      </c>
      <c r="F122" s="22" t="s">
        <v>70</v>
      </c>
      <c r="G122" s="24"/>
      <c r="H122" s="25">
        <f>Setari!$B$3</f>
        <v>0.25</v>
      </c>
      <c r="I122" s="26" t="str">
        <f t="shared" si="0"/>
        <v/>
      </c>
      <c r="J122" s="22"/>
      <c r="K122" s="23"/>
    </row>
    <row r="123" spans="1:11">
      <c r="A123" s="22" t="s">
        <v>602</v>
      </c>
      <c r="B123" s="22" t="s">
        <v>71</v>
      </c>
      <c r="C123" s="23" t="s">
        <v>581</v>
      </c>
      <c r="D123" s="22" t="s">
        <v>72</v>
      </c>
      <c r="E123" s="22">
        <v>100</v>
      </c>
      <c r="F123" s="22" t="s">
        <v>70</v>
      </c>
      <c r="G123" s="24"/>
      <c r="H123" s="25">
        <f>Setari!$B$3</f>
        <v>0.25</v>
      </c>
      <c r="I123" s="26" t="str">
        <f t="shared" si="0"/>
        <v/>
      </c>
      <c r="J123" s="22"/>
      <c r="K123" s="23"/>
    </row>
    <row r="124" spans="1:11">
      <c r="A124" s="22" t="s">
        <v>603</v>
      </c>
      <c r="B124" s="22" t="s">
        <v>71</v>
      </c>
      <c r="C124" s="23" t="s">
        <v>582</v>
      </c>
      <c r="D124" s="22" t="s">
        <v>72</v>
      </c>
      <c r="E124" s="22">
        <v>125</v>
      </c>
      <c r="F124" s="22" t="s">
        <v>70</v>
      </c>
      <c r="G124" s="24"/>
      <c r="H124" s="25">
        <f>Setari!$B$3</f>
        <v>0.25</v>
      </c>
      <c r="I124" s="26" t="str">
        <f t="shared" si="0"/>
        <v/>
      </c>
      <c r="J124" s="22"/>
      <c r="K124" s="23"/>
    </row>
    <row r="125" spans="1:11">
      <c r="A125" s="22" t="s">
        <v>604</v>
      </c>
      <c r="B125" s="22" t="s">
        <v>71</v>
      </c>
      <c r="C125" s="23" t="s">
        <v>583</v>
      </c>
      <c r="D125" s="22" t="s">
        <v>72</v>
      </c>
      <c r="E125" s="22">
        <v>150</v>
      </c>
      <c r="F125" s="22" t="s">
        <v>70</v>
      </c>
      <c r="G125" s="24"/>
      <c r="H125" s="25">
        <f>Setari!$B$3</f>
        <v>0.25</v>
      </c>
      <c r="I125" s="26" t="str">
        <f t="shared" si="0"/>
        <v/>
      </c>
      <c r="J125" s="22"/>
      <c r="K125" s="23"/>
    </row>
    <row r="126" spans="1:11">
      <c r="A126" s="22" t="s">
        <v>605</v>
      </c>
      <c r="B126" s="22" t="s">
        <v>71</v>
      </c>
      <c r="C126" s="23" t="s">
        <v>606</v>
      </c>
      <c r="D126" s="22" t="s">
        <v>72</v>
      </c>
      <c r="E126" s="22">
        <v>200</v>
      </c>
      <c r="F126" s="22" t="s">
        <v>70</v>
      </c>
      <c r="G126" s="24"/>
      <c r="H126" s="25">
        <f>Setari!$B$3</f>
        <v>0.25</v>
      </c>
      <c r="I126" s="26" t="str">
        <f t="shared" ref="I126" si="47">IF(G126="","",G126*(1+H126))</f>
        <v/>
      </c>
      <c r="J126" s="22"/>
      <c r="K126" s="23"/>
    </row>
    <row r="127" spans="1:11">
      <c r="A127" s="22" t="s">
        <v>607</v>
      </c>
      <c r="B127" s="22" t="s">
        <v>71</v>
      </c>
      <c r="C127" s="23" t="s">
        <v>608</v>
      </c>
      <c r="D127" s="22" t="s">
        <v>72</v>
      </c>
      <c r="E127" s="22">
        <v>250</v>
      </c>
      <c r="F127" s="22" t="s">
        <v>70</v>
      </c>
      <c r="G127" s="24"/>
      <c r="H127" s="25">
        <f>Setari!$B$3</f>
        <v>0.25</v>
      </c>
      <c r="I127" s="26" t="str">
        <f t="shared" ref="I127" si="48">IF(G127="","",G127*(1+H127))</f>
        <v/>
      </c>
      <c r="J127" s="22"/>
      <c r="K127" s="23"/>
    </row>
    <row r="128" spans="1:11">
      <c r="A128" s="22" t="s">
        <v>609</v>
      </c>
      <c r="B128" s="22" t="s">
        <v>71</v>
      </c>
      <c r="C128" s="23" t="s">
        <v>610</v>
      </c>
      <c r="D128" s="22" t="s">
        <v>72</v>
      </c>
      <c r="E128" s="22">
        <v>300</v>
      </c>
      <c r="F128" s="22" t="s">
        <v>70</v>
      </c>
      <c r="G128" s="24"/>
      <c r="H128" s="25">
        <f>Setari!$B$3</f>
        <v>0.25</v>
      </c>
      <c r="I128" s="26" t="str">
        <f t="shared" ref="I128" si="49">IF(G128="","",G128*(1+H128))</f>
        <v/>
      </c>
      <c r="J128" s="22"/>
      <c r="K128" s="23"/>
    </row>
    <row r="129" spans="1:11">
      <c r="A129" s="22" t="s">
        <v>92</v>
      </c>
      <c r="B129" s="22" t="s">
        <v>71</v>
      </c>
      <c r="C129" s="23" t="s">
        <v>93</v>
      </c>
      <c r="D129" s="22" t="s">
        <v>74</v>
      </c>
      <c r="E129" s="22">
        <v>15</v>
      </c>
      <c r="F129" s="22" t="s">
        <v>70</v>
      </c>
      <c r="G129" s="24"/>
      <c r="H129" s="25">
        <f>Setari!$B$3</f>
        <v>0.25</v>
      </c>
      <c r="I129" s="26" t="str">
        <f t="shared" si="0"/>
        <v/>
      </c>
      <c r="J129" s="22"/>
      <c r="K129" s="23"/>
    </row>
    <row r="130" spans="1:11">
      <c r="A130" s="22" t="s">
        <v>94</v>
      </c>
      <c r="B130" s="22" t="s">
        <v>71</v>
      </c>
      <c r="C130" s="23" t="s">
        <v>95</v>
      </c>
      <c r="D130" s="22" t="s">
        <v>74</v>
      </c>
      <c r="E130" s="22">
        <v>20</v>
      </c>
      <c r="F130" s="22" t="s">
        <v>70</v>
      </c>
      <c r="G130" s="24"/>
      <c r="H130" s="25">
        <f>Setari!$B$3</f>
        <v>0.25</v>
      </c>
      <c r="I130" s="26" t="str">
        <f t="shared" si="0"/>
        <v/>
      </c>
      <c r="J130" s="22"/>
      <c r="K130" s="23"/>
    </row>
    <row r="131" spans="1:11">
      <c r="A131" s="22" t="s">
        <v>96</v>
      </c>
      <c r="B131" s="22" t="s">
        <v>71</v>
      </c>
      <c r="C131" s="23" t="s">
        <v>97</v>
      </c>
      <c r="D131" s="22" t="s">
        <v>74</v>
      </c>
      <c r="E131" s="22">
        <v>25</v>
      </c>
      <c r="F131" s="22" t="s">
        <v>70</v>
      </c>
      <c r="G131" s="24"/>
      <c r="H131" s="25">
        <f>Setari!$B$3</f>
        <v>0.25</v>
      </c>
      <c r="I131" s="26" t="str">
        <f t="shared" si="0"/>
        <v/>
      </c>
      <c r="J131" s="22"/>
      <c r="K131" s="23"/>
    </row>
    <row r="132" spans="1:11">
      <c r="A132" s="22" t="s">
        <v>98</v>
      </c>
      <c r="B132" s="22" t="s">
        <v>71</v>
      </c>
      <c r="C132" s="23" t="s">
        <v>99</v>
      </c>
      <c r="D132" s="22" t="s">
        <v>74</v>
      </c>
      <c r="E132" s="22">
        <v>32</v>
      </c>
      <c r="F132" s="22" t="s">
        <v>70</v>
      </c>
      <c r="G132" s="24"/>
      <c r="H132" s="25">
        <f>Setari!$B$3</f>
        <v>0.25</v>
      </c>
      <c r="I132" s="26" t="str">
        <f t="shared" si="0"/>
        <v/>
      </c>
      <c r="J132" s="22"/>
      <c r="K132" s="23"/>
    </row>
    <row r="133" spans="1:11">
      <c r="A133" s="22" t="s">
        <v>100</v>
      </c>
      <c r="B133" s="22" t="s">
        <v>71</v>
      </c>
      <c r="C133" s="23" t="s">
        <v>101</v>
      </c>
      <c r="D133" s="22" t="s">
        <v>74</v>
      </c>
      <c r="E133" s="22">
        <v>40</v>
      </c>
      <c r="F133" s="22" t="s">
        <v>70</v>
      </c>
      <c r="G133" s="24"/>
      <c r="H133" s="25">
        <f>Setari!$B$3</f>
        <v>0.25</v>
      </c>
      <c r="I133" s="26" t="str">
        <f t="shared" si="0"/>
        <v/>
      </c>
      <c r="J133" s="22"/>
      <c r="K133" s="23"/>
    </row>
    <row r="134" spans="1:11">
      <c r="A134" s="22" t="s">
        <v>102</v>
      </c>
      <c r="B134" s="22" t="s">
        <v>71</v>
      </c>
      <c r="C134" s="23" t="s">
        <v>103</v>
      </c>
      <c r="D134" s="22" t="s">
        <v>74</v>
      </c>
      <c r="E134" s="22">
        <v>50</v>
      </c>
      <c r="F134" s="22" t="s">
        <v>70</v>
      </c>
      <c r="G134" s="24"/>
      <c r="H134" s="25">
        <f>Setari!$B$3</f>
        <v>0.25</v>
      </c>
      <c r="I134" s="26" t="str">
        <f t="shared" si="0"/>
        <v/>
      </c>
      <c r="J134" s="22"/>
      <c r="K134" s="23"/>
    </row>
    <row r="135" spans="1:11">
      <c r="A135" s="22" t="s">
        <v>611</v>
      </c>
      <c r="B135" s="22" t="s">
        <v>71</v>
      </c>
      <c r="C135" s="23" t="s">
        <v>616</v>
      </c>
      <c r="D135" s="22" t="s">
        <v>74</v>
      </c>
      <c r="E135" s="22">
        <v>65</v>
      </c>
      <c r="F135" s="22" t="s">
        <v>70</v>
      </c>
      <c r="G135" s="24"/>
      <c r="H135" s="25">
        <f>Setari!$B$3</f>
        <v>0.25</v>
      </c>
      <c r="I135" s="26" t="str">
        <f t="shared" si="0"/>
        <v/>
      </c>
      <c r="J135" s="22"/>
      <c r="K135" s="23"/>
    </row>
    <row r="136" spans="1:11">
      <c r="A136" s="22" t="s">
        <v>612</v>
      </c>
      <c r="B136" s="22" t="s">
        <v>71</v>
      </c>
      <c r="C136" s="23" t="s">
        <v>617</v>
      </c>
      <c r="D136" s="22" t="s">
        <v>74</v>
      </c>
      <c r="E136" s="22">
        <v>80</v>
      </c>
      <c r="F136" s="22" t="s">
        <v>70</v>
      </c>
      <c r="G136" s="24">
        <v>147</v>
      </c>
      <c r="H136" s="25">
        <f>Setari!$B$3</f>
        <v>0.25</v>
      </c>
      <c r="I136" s="26">
        <f t="shared" si="0"/>
        <v>183.75</v>
      </c>
      <c r="J136" s="22"/>
      <c r="K136" s="23"/>
    </row>
    <row r="137" spans="1:11">
      <c r="A137" s="22" t="s">
        <v>613</v>
      </c>
      <c r="B137" s="22" t="s">
        <v>71</v>
      </c>
      <c r="C137" s="23" t="s">
        <v>618</v>
      </c>
      <c r="D137" s="22" t="s">
        <v>74</v>
      </c>
      <c r="E137" s="22">
        <v>100</v>
      </c>
      <c r="F137" s="22" t="s">
        <v>70</v>
      </c>
      <c r="G137" s="24">
        <v>224</v>
      </c>
      <c r="H137" s="25">
        <f>Setari!$B$3</f>
        <v>0.25</v>
      </c>
      <c r="I137" s="26">
        <f t="shared" si="0"/>
        <v>280</v>
      </c>
      <c r="J137" s="22"/>
      <c r="K137" s="23"/>
    </row>
    <row r="138" spans="1:11">
      <c r="A138" s="22" t="s">
        <v>614</v>
      </c>
      <c r="B138" s="22" t="s">
        <v>71</v>
      </c>
      <c r="C138" s="23" t="s">
        <v>619</v>
      </c>
      <c r="D138" s="22" t="s">
        <v>74</v>
      </c>
      <c r="E138" s="22">
        <v>125</v>
      </c>
      <c r="F138" s="22" t="s">
        <v>70</v>
      </c>
      <c r="G138" s="24"/>
      <c r="H138" s="25">
        <f>Setari!$B$3</f>
        <v>0.25</v>
      </c>
      <c r="I138" s="26" t="str">
        <f t="shared" si="0"/>
        <v/>
      </c>
      <c r="J138" s="22"/>
      <c r="K138" s="23"/>
    </row>
    <row r="139" spans="1:11">
      <c r="A139" s="22" t="s">
        <v>615</v>
      </c>
      <c r="B139" s="22" t="s">
        <v>71</v>
      </c>
      <c r="C139" s="23" t="s">
        <v>620</v>
      </c>
      <c r="D139" s="22" t="s">
        <v>74</v>
      </c>
      <c r="E139" s="22">
        <v>150</v>
      </c>
      <c r="F139" s="22" t="s">
        <v>70</v>
      </c>
      <c r="G139" s="24"/>
      <c r="H139" s="25">
        <f>Setari!$B$3</f>
        <v>0.25</v>
      </c>
      <c r="I139" s="26" t="str">
        <f t="shared" si="0"/>
        <v/>
      </c>
      <c r="J139" s="22"/>
      <c r="K139" s="23"/>
    </row>
    <row r="140" spans="1:11">
      <c r="A140" s="22" t="s">
        <v>621</v>
      </c>
      <c r="B140" s="22" t="s">
        <v>71</v>
      </c>
      <c r="C140" s="23" t="s">
        <v>622</v>
      </c>
      <c r="D140" s="22" t="s">
        <v>74</v>
      </c>
      <c r="E140" s="22">
        <v>200</v>
      </c>
      <c r="F140" s="22" t="s">
        <v>70</v>
      </c>
      <c r="G140" s="24"/>
      <c r="H140" s="25">
        <f>Setari!$B$3</f>
        <v>0.25</v>
      </c>
      <c r="I140" s="26" t="str">
        <f t="shared" ref="I140" si="50">IF(G140="","",G140*(1+H140))</f>
        <v/>
      </c>
      <c r="J140" s="22"/>
      <c r="K140" s="23"/>
    </row>
    <row r="141" spans="1:11">
      <c r="A141" s="22" t="s">
        <v>623</v>
      </c>
      <c r="B141" s="22" t="s">
        <v>71</v>
      </c>
      <c r="C141" s="23" t="s">
        <v>624</v>
      </c>
      <c r="D141" s="22" t="s">
        <v>74</v>
      </c>
      <c r="E141" s="22">
        <v>250</v>
      </c>
      <c r="F141" s="22" t="s">
        <v>70</v>
      </c>
      <c r="G141" s="24"/>
      <c r="H141" s="25">
        <f>Setari!$B$3</f>
        <v>0.25</v>
      </c>
      <c r="I141" s="26" t="str">
        <f t="shared" ref="I141" si="51">IF(G141="","",G141*(1+H141))</f>
        <v/>
      </c>
      <c r="J141" s="22"/>
      <c r="K141" s="23"/>
    </row>
    <row r="142" spans="1:11">
      <c r="A142" s="22" t="s">
        <v>625</v>
      </c>
      <c r="B142" s="22" t="s">
        <v>71</v>
      </c>
      <c r="C142" s="23" t="s">
        <v>626</v>
      </c>
      <c r="D142" s="22" t="s">
        <v>74</v>
      </c>
      <c r="E142" s="22">
        <v>300</v>
      </c>
      <c r="F142" s="22" t="s">
        <v>70</v>
      </c>
      <c r="G142" s="24"/>
      <c r="H142" s="25">
        <f>Setari!$B$3</f>
        <v>0.25</v>
      </c>
      <c r="I142" s="26" t="str">
        <f t="shared" ref="I142" si="52">IF(G142="","",G142*(1+H142))</f>
        <v/>
      </c>
      <c r="J142" s="22"/>
      <c r="K142" s="23"/>
    </row>
    <row r="143" spans="1:11">
      <c r="A143" s="22" t="s">
        <v>627</v>
      </c>
      <c r="B143" s="22" t="s">
        <v>71</v>
      </c>
      <c r="C143" s="23" t="s">
        <v>668</v>
      </c>
      <c r="D143" s="22" t="s">
        <v>72</v>
      </c>
      <c r="E143" s="22">
        <v>15</v>
      </c>
      <c r="F143" s="22" t="s">
        <v>70</v>
      </c>
      <c r="G143" s="24"/>
      <c r="H143" s="25">
        <f>Setari!$B$3</f>
        <v>0.25</v>
      </c>
      <c r="I143" s="26" t="str">
        <f t="shared" si="0"/>
        <v/>
      </c>
      <c r="J143" s="22"/>
      <c r="K143" s="23"/>
    </row>
    <row r="144" spans="1:11">
      <c r="A144" s="22" t="s">
        <v>628</v>
      </c>
      <c r="B144" s="22" t="s">
        <v>71</v>
      </c>
      <c r="C144" s="23" t="s">
        <v>669</v>
      </c>
      <c r="D144" s="22" t="s">
        <v>72</v>
      </c>
      <c r="E144" s="22">
        <v>20</v>
      </c>
      <c r="F144" s="22" t="s">
        <v>70</v>
      </c>
      <c r="G144" s="24"/>
      <c r="H144" s="25">
        <f>Setari!$B$3</f>
        <v>0.25</v>
      </c>
      <c r="I144" s="26" t="str">
        <f t="shared" si="0"/>
        <v/>
      </c>
      <c r="J144" s="22"/>
      <c r="K144" s="23"/>
    </row>
    <row r="145" spans="1:11">
      <c r="A145" s="22" t="s">
        <v>629</v>
      </c>
      <c r="B145" s="22" t="s">
        <v>71</v>
      </c>
      <c r="C145" s="23" t="s">
        <v>670</v>
      </c>
      <c r="D145" s="22" t="s">
        <v>72</v>
      </c>
      <c r="E145" s="22">
        <v>25</v>
      </c>
      <c r="F145" s="22" t="s">
        <v>70</v>
      </c>
      <c r="G145" s="24"/>
      <c r="H145" s="25">
        <f>Setari!$B$3</f>
        <v>0.25</v>
      </c>
      <c r="I145" s="26" t="str">
        <f t="shared" si="0"/>
        <v/>
      </c>
      <c r="J145" s="22"/>
      <c r="K145" s="23"/>
    </row>
    <row r="146" spans="1:11">
      <c r="A146" s="22" t="s">
        <v>630</v>
      </c>
      <c r="B146" s="22" t="s">
        <v>71</v>
      </c>
      <c r="C146" s="23" t="s">
        <v>671</v>
      </c>
      <c r="D146" s="22" t="s">
        <v>72</v>
      </c>
      <c r="E146" s="22">
        <v>32</v>
      </c>
      <c r="F146" s="22" t="s">
        <v>70</v>
      </c>
      <c r="G146" s="24"/>
      <c r="H146" s="25">
        <f>Setari!$B$3</f>
        <v>0.25</v>
      </c>
      <c r="I146" s="26" t="str">
        <f t="shared" si="0"/>
        <v/>
      </c>
      <c r="J146" s="22"/>
      <c r="K146" s="23"/>
    </row>
    <row r="147" spans="1:11">
      <c r="A147" s="22" t="s">
        <v>631</v>
      </c>
      <c r="B147" s="22" t="s">
        <v>71</v>
      </c>
      <c r="C147" s="23" t="s">
        <v>672</v>
      </c>
      <c r="D147" s="22" t="s">
        <v>72</v>
      </c>
      <c r="E147" s="22">
        <v>40</v>
      </c>
      <c r="F147" s="22" t="s">
        <v>70</v>
      </c>
      <c r="G147" s="24"/>
      <c r="H147" s="25">
        <f>Setari!$B$3</f>
        <v>0.25</v>
      </c>
      <c r="I147" s="26" t="str">
        <f t="shared" si="0"/>
        <v/>
      </c>
      <c r="J147" s="22"/>
      <c r="K147" s="23"/>
    </row>
    <row r="148" spans="1:11">
      <c r="A148" s="22" t="s">
        <v>632</v>
      </c>
      <c r="B148" s="22" t="s">
        <v>71</v>
      </c>
      <c r="C148" s="23" t="s">
        <v>673</v>
      </c>
      <c r="D148" s="22" t="s">
        <v>72</v>
      </c>
      <c r="E148" s="22">
        <v>50</v>
      </c>
      <c r="F148" s="22" t="s">
        <v>70</v>
      </c>
      <c r="G148" s="24"/>
      <c r="H148" s="25">
        <f>Setari!$B$3</f>
        <v>0.25</v>
      </c>
      <c r="I148" s="26" t="str">
        <f t="shared" si="0"/>
        <v/>
      </c>
      <c r="J148" s="22"/>
      <c r="K148" s="23"/>
    </row>
    <row r="149" spans="1:11">
      <c r="A149" s="22" t="s">
        <v>633</v>
      </c>
      <c r="B149" s="22" t="s">
        <v>71</v>
      </c>
      <c r="C149" s="23" t="s">
        <v>674</v>
      </c>
      <c r="D149" s="22" t="s">
        <v>72</v>
      </c>
      <c r="E149" s="22">
        <v>65</v>
      </c>
      <c r="F149" s="22" t="s">
        <v>70</v>
      </c>
      <c r="G149" s="24"/>
      <c r="H149" s="25">
        <f>Setari!$B$3</f>
        <v>0.25</v>
      </c>
      <c r="I149" s="26" t="str">
        <f t="shared" si="0"/>
        <v/>
      </c>
      <c r="J149" s="22"/>
      <c r="K149" s="23"/>
    </row>
    <row r="150" spans="1:11">
      <c r="A150" s="22" t="s">
        <v>634</v>
      </c>
      <c r="B150" s="22" t="s">
        <v>71</v>
      </c>
      <c r="C150" s="23" t="s">
        <v>675</v>
      </c>
      <c r="D150" s="22" t="s">
        <v>72</v>
      </c>
      <c r="E150" s="22">
        <v>80</v>
      </c>
      <c r="F150" s="22" t="s">
        <v>70</v>
      </c>
      <c r="G150" s="24"/>
      <c r="H150" s="25">
        <f>Setari!$B$3</f>
        <v>0.25</v>
      </c>
      <c r="I150" s="26" t="str">
        <f t="shared" ref="I150:I234" si="53">IF(G150="","",G150*(1+H150))</f>
        <v/>
      </c>
      <c r="J150" s="22"/>
      <c r="K150" s="23"/>
    </row>
    <row r="151" spans="1:11">
      <c r="A151" s="22" t="s">
        <v>635</v>
      </c>
      <c r="B151" s="22" t="s">
        <v>71</v>
      </c>
      <c r="C151" s="23" t="s">
        <v>676</v>
      </c>
      <c r="D151" s="22" t="s">
        <v>72</v>
      </c>
      <c r="E151" s="22">
        <v>100</v>
      </c>
      <c r="F151" s="22" t="s">
        <v>70</v>
      </c>
      <c r="G151" s="24"/>
      <c r="H151" s="25">
        <f>Setari!$B$3</f>
        <v>0.25</v>
      </c>
      <c r="I151" s="26" t="str">
        <f t="shared" si="53"/>
        <v/>
      </c>
      <c r="J151" s="22"/>
      <c r="K151" s="23"/>
    </row>
    <row r="152" spans="1:11">
      <c r="A152" s="22" t="s">
        <v>636</v>
      </c>
      <c r="B152" s="22" t="s">
        <v>71</v>
      </c>
      <c r="C152" s="23" t="s">
        <v>677</v>
      </c>
      <c r="D152" s="22" t="s">
        <v>72</v>
      </c>
      <c r="E152" s="22">
        <v>125</v>
      </c>
      <c r="F152" s="22" t="s">
        <v>70</v>
      </c>
      <c r="G152" s="24"/>
      <c r="H152" s="25">
        <f>Setari!$B$3</f>
        <v>0.25</v>
      </c>
      <c r="I152" s="26" t="str">
        <f t="shared" si="53"/>
        <v/>
      </c>
      <c r="J152" s="22"/>
      <c r="K152" s="23"/>
    </row>
    <row r="153" spans="1:11">
      <c r="A153" s="22" t="s">
        <v>637</v>
      </c>
      <c r="B153" s="22" t="s">
        <v>71</v>
      </c>
      <c r="C153" s="23" t="s">
        <v>678</v>
      </c>
      <c r="D153" s="22" t="s">
        <v>72</v>
      </c>
      <c r="E153" s="22">
        <v>150</v>
      </c>
      <c r="F153" s="22" t="s">
        <v>70</v>
      </c>
      <c r="G153" s="24"/>
      <c r="H153" s="25">
        <f>Setari!$B$3</f>
        <v>0.25</v>
      </c>
      <c r="I153" s="26" t="str">
        <f t="shared" si="53"/>
        <v/>
      </c>
      <c r="J153" s="22"/>
      <c r="K153" s="23"/>
    </row>
    <row r="154" spans="1:11">
      <c r="A154" s="22" t="s">
        <v>638</v>
      </c>
      <c r="B154" s="22" t="s">
        <v>71</v>
      </c>
      <c r="C154" s="23" t="s">
        <v>679</v>
      </c>
      <c r="D154" s="22" t="s">
        <v>72</v>
      </c>
      <c r="E154" s="22">
        <v>200</v>
      </c>
      <c r="F154" s="22" t="s">
        <v>70</v>
      </c>
      <c r="G154" s="24"/>
      <c r="H154" s="25">
        <f>Setari!$B$3</f>
        <v>0.25</v>
      </c>
      <c r="I154" s="26" t="str">
        <f t="shared" ref="I154" si="54">IF(G154="","",G154*(1+H154))</f>
        <v/>
      </c>
      <c r="J154" s="22"/>
      <c r="K154" s="23"/>
    </row>
    <row r="155" spans="1:11">
      <c r="A155" s="22" t="s">
        <v>639</v>
      </c>
      <c r="B155" s="22" t="s">
        <v>71</v>
      </c>
      <c r="C155" s="23" t="s">
        <v>680</v>
      </c>
      <c r="D155" s="22" t="s">
        <v>72</v>
      </c>
      <c r="E155" s="22">
        <v>250</v>
      </c>
      <c r="F155" s="22" t="s">
        <v>70</v>
      </c>
      <c r="G155" s="24"/>
      <c r="H155" s="25">
        <f>Setari!$B$3</f>
        <v>0.25</v>
      </c>
      <c r="I155" s="26" t="str">
        <f t="shared" ref="I155" si="55">IF(G155="","",G155*(1+H155))</f>
        <v/>
      </c>
      <c r="J155" s="22"/>
      <c r="K155" s="23"/>
    </row>
    <row r="156" spans="1:11">
      <c r="A156" s="22" t="s">
        <v>640</v>
      </c>
      <c r="B156" s="22" t="s">
        <v>71</v>
      </c>
      <c r="C156" s="23" t="s">
        <v>681</v>
      </c>
      <c r="D156" s="22" t="s">
        <v>72</v>
      </c>
      <c r="E156" s="22">
        <v>300</v>
      </c>
      <c r="F156" s="22" t="s">
        <v>70</v>
      </c>
      <c r="G156" s="24"/>
      <c r="H156" s="25">
        <f>Setari!$B$3</f>
        <v>0.25</v>
      </c>
      <c r="I156" s="26" t="str">
        <f t="shared" ref="I156" si="56">IF(G156="","",G156*(1+H156))</f>
        <v/>
      </c>
      <c r="J156" s="22"/>
      <c r="K156" s="23"/>
    </row>
    <row r="157" spans="1:11">
      <c r="A157" s="22" t="s">
        <v>106</v>
      </c>
      <c r="B157" s="22" t="s">
        <v>71</v>
      </c>
      <c r="C157" s="23" t="s">
        <v>107</v>
      </c>
      <c r="D157" s="22" t="s">
        <v>74</v>
      </c>
      <c r="E157" s="22">
        <v>15</v>
      </c>
      <c r="F157" s="22" t="s">
        <v>70</v>
      </c>
      <c r="G157" s="24"/>
      <c r="H157" s="25">
        <f>Setari!$B$3</f>
        <v>0.25</v>
      </c>
      <c r="I157" s="26" t="str">
        <f t="shared" si="53"/>
        <v/>
      </c>
      <c r="J157" s="22"/>
      <c r="K157" s="23"/>
    </row>
    <row r="158" spans="1:11">
      <c r="A158" s="22" t="s">
        <v>108</v>
      </c>
      <c r="B158" s="22" t="s">
        <v>71</v>
      </c>
      <c r="C158" s="23" t="s">
        <v>109</v>
      </c>
      <c r="D158" s="22" t="s">
        <v>74</v>
      </c>
      <c r="E158" s="22">
        <v>20</v>
      </c>
      <c r="F158" s="22" t="s">
        <v>70</v>
      </c>
      <c r="G158" s="24">
        <v>15.8</v>
      </c>
      <c r="H158" s="25">
        <f>Setari!$B$3</f>
        <v>0.25</v>
      </c>
      <c r="I158" s="26">
        <f t="shared" si="53"/>
        <v>19.75</v>
      </c>
      <c r="J158" s="22"/>
      <c r="K158" s="23"/>
    </row>
    <row r="159" spans="1:11">
      <c r="A159" s="22" t="s">
        <v>110</v>
      </c>
      <c r="B159" s="22" t="s">
        <v>71</v>
      </c>
      <c r="C159" s="23" t="s">
        <v>111</v>
      </c>
      <c r="D159" s="22" t="s">
        <v>74</v>
      </c>
      <c r="E159" s="22">
        <v>25</v>
      </c>
      <c r="F159" s="22" t="s">
        <v>70</v>
      </c>
      <c r="G159" s="24">
        <v>16.8</v>
      </c>
      <c r="H159" s="25">
        <f>Setari!$B$3</f>
        <v>0.25</v>
      </c>
      <c r="I159" s="26">
        <f t="shared" si="53"/>
        <v>21</v>
      </c>
      <c r="J159" s="22"/>
      <c r="K159" s="23"/>
    </row>
    <row r="160" spans="1:11">
      <c r="A160" s="22" t="s">
        <v>112</v>
      </c>
      <c r="B160" s="22" t="s">
        <v>71</v>
      </c>
      <c r="C160" s="23" t="s">
        <v>113</v>
      </c>
      <c r="D160" s="22" t="s">
        <v>74</v>
      </c>
      <c r="E160" s="22">
        <v>32</v>
      </c>
      <c r="F160" s="22" t="s">
        <v>70</v>
      </c>
      <c r="G160" s="24">
        <v>16.95</v>
      </c>
      <c r="H160" s="25">
        <f>Setari!$B$3</f>
        <v>0.25</v>
      </c>
      <c r="I160" s="26">
        <f t="shared" si="53"/>
        <v>21.1875</v>
      </c>
      <c r="J160" s="22"/>
      <c r="K160" s="23"/>
    </row>
    <row r="161" spans="1:11">
      <c r="A161" s="22" t="s">
        <v>114</v>
      </c>
      <c r="B161" s="22" t="s">
        <v>71</v>
      </c>
      <c r="C161" s="23" t="s">
        <v>115</v>
      </c>
      <c r="D161" s="22" t="s">
        <v>74</v>
      </c>
      <c r="E161" s="22">
        <v>40</v>
      </c>
      <c r="F161" s="22" t="s">
        <v>70</v>
      </c>
      <c r="G161" s="24"/>
      <c r="H161" s="25">
        <f>Setari!$B$3</f>
        <v>0.25</v>
      </c>
      <c r="I161" s="26" t="str">
        <f t="shared" si="53"/>
        <v/>
      </c>
      <c r="J161" s="22"/>
      <c r="K161" s="23"/>
    </row>
    <row r="162" spans="1:11">
      <c r="A162" s="22" t="s">
        <v>116</v>
      </c>
      <c r="B162" s="22" t="s">
        <v>71</v>
      </c>
      <c r="C162" s="23" t="s">
        <v>117</v>
      </c>
      <c r="D162" s="22" t="s">
        <v>74</v>
      </c>
      <c r="E162" s="22">
        <v>50</v>
      </c>
      <c r="F162" s="22" t="s">
        <v>70</v>
      </c>
      <c r="G162" s="24"/>
      <c r="H162" s="25">
        <f>Setari!$B$3</f>
        <v>0.25</v>
      </c>
      <c r="I162" s="26" t="str">
        <f t="shared" si="53"/>
        <v/>
      </c>
      <c r="J162" s="22"/>
      <c r="K162" s="23"/>
    </row>
    <row r="163" spans="1:11">
      <c r="A163" s="22" t="s">
        <v>641</v>
      </c>
      <c r="B163" s="22" t="s">
        <v>71</v>
      </c>
      <c r="C163" s="23" t="s">
        <v>642</v>
      </c>
      <c r="D163" s="22" t="s">
        <v>74</v>
      </c>
      <c r="E163" s="22">
        <v>65</v>
      </c>
      <c r="F163" s="22" t="s">
        <v>70</v>
      </c>
      <c r="G163" s="24"/>
      <c r="H163" s="25">
        <f>Setari!$B$3</f>
        <v>0.25</v>
      </c>
      <c r="I163" s="26" t="str">
        <f t="shared" si="53"/>
        <v/>
      </c>
      <c r="J163" s="22"/>
      <c r="K163" s="23"/>
    </row>
    <row r="164" spans="1:11">
      <c r="A164" s="22" t="s">
        <v>643</v>
      </c>
      <c r="B164" s="22" t="s">
        <v>71</v>
      </c>
      <c r="C164" s="23" t="s">
        <v>644</v>
      </c>
      <c r="D164" s="22" t="s">
        <v>74</v>
      </c>
      <c r="E164" s="22">
        <v>80</v>
      </c>
      <c r="F164" s="22" t="s">
        <v>70</v>
      </c>
      <c r="G164" s="24">
        <v>64</v>
      </c>
      <c r="H164" s="25">
        <f>Setari!$B$3</f>
        <v>0.25</v>
      </c>
      <c r="I164" s="26">
        <f t="shared" si="53"/>
        <v>80</v>
      </c>
      <c r="J164" s="22"/>
      <c r="K164" s="23"/>
    </row>
    <row r="165" spans="1:11">
      <c r="A165" s="22" t="s">
        <v>650</v>
      </c>
      <c r="B165" s="22" t="s">
        <v>71</v>
      </c>
      <c r="C165" s="23" t="s">
        <v>645</v>
      </c>
      <c r="D165" s="22" t="s">
        <v>74</v>
      </c>
      <c r="E165" s="22">
        <v>100</v>
      </c>
      <c r="F165" s="22" t="s">
        <v>70</v>
      </c>
      <c r="G165" s="24"/>
      <c r="H165" s="25">
        <f>Setari!$B$3</f>
        <v>0.25</v>
      </c>
      <c r="I165" s="26" t="str">
        <f t="shared" si="53"/>
        <v/>
      </c>
      <c r="J165" s="22"/>
      <c r="K165" s="23"/>
    </row>
    <row r="166" spans="1:11">
      <c r="A166" s="22" t="s">
        <v>649</v>
      </c>
      <c r="B166" s="22" t="s">
        <v>71</v>
      </c>
      <c r="C166" s="23" t="s">
        <v>646</v>
      </c>
      <c r="D166" s="22" t="s">
        <v>74</v>
      </c>
      <c r="E166" s="22">
        <v>125</v>
      </c>
      <c r="F166" s="22" t="s">
        <v>70</v>
      </c>
      <c r="G166" s="24"/>
      <c r="H166" s="25">
        <f>Setari!$B$3</f>
        <v>0.25</v>
      </c>
      <c r="I166" s="26" t="str">
        <f t="shared" si="53"/>
        <v/>
      </c>
      <c r="J166" s="22"/>
      <c r="K166" s="23"/>
    </row>
    <row r="167" spans="1:11">
      <c r="A167" s="22" t="s">
        <v>648</v>
      </c>
      <c r="B167" s="22" t="s">
        <v>71</v>
      </c>
      <c r="C167" s="23" t="s">
        <v>647</v>
      </c>
      <c r="D167" s="22" t="s">
        <v>74</v>
      </c>
      <c r="E167" s="22">
        <v>150</v>
      </c>
      <c r="F167" s="22" t="s">
        <v>70</v>
      </c>
      <c r="G167" s="24"/>
      <c r="H167" s="25">
        <f>Setari!$B$3</f>
        <v>0.25</v>
      </c>
      <c r="I167" s="26" t="str">
        <f t="shared" si="53"/>
        <v/>
      </c>
      <c r="J167" s="22"/>
      <c r="K167" s="23"/>
    </row>
    <row r="168" spans="1:11">
      <c r="A168" s="22" t="s">
        <v>651</v>
      </c>
      <c r="B168" s="22" t="s">
        <v>71</v>
      </c>
      <c r="C168" s="23" t="s">
        <v>652</v>
      </c>
      <c r="D168" s="22" t="s">
        <v>74</v>
      </c>
      <c r="E168" s="22">
        <v>200</v>
      </c>
      <c r="F168" s="22" t="s">
        <v>70</v>
      </c>
      <c r="G168" s="24"/>
      <c r="H168" s="25">
        <f>Setari!$B$3</f>
        <v>0.25</v>
      </c>
      <c r="I168" s="26" t="str">
        <f t="shared" ref="I168" si="57">IF(G168="","",G168*(1+H168))</f>
        <v/>
      </c>
      <c r="J168" s="22"/>
      <c r="K168" s="23"/>
    </row>
    <row r="169" spans="1:11">
      <c r="A169" s="22" t="s">
        <v>653</v>
      </c>
      <c r="B169" s="22" t="s">
        <v>71</v>
      </c>
      <c r="C169" s="23" t="s">
        <v>654</v>
      </c>
      <c r="D169" s="22" t="s">
        <v>74</v>
      </c>
      <c r="E169" s="22">
        <v>250</v>
      </c>
      <c r="F169" s="22" t="s">
        <v>70</v>
      </c>
      <c r="G169" s="24"/>
      <c r="H169" s="25">
        <f>Setari!$B$3</f>
        <v>0.25</v>
      </c>
      <c r="I169" s="26" t="str">
        <f t="shared" ref="I169" si="58">IF(G169="","",G169*(1+H169))</f>
        <v/>
      </c>
      <c r="J169" s="22"/>
      <c r="K169" s="23"/>
    </row>
    <row r="170" spans="1:11">
      <c r="A170" s="22" t="s">
        <v>655</v>
      </c>
      <c r="B170" s="22" t="s">
        <v>71</v>
      </c>
      <c r="C170" s="23" t="s">
        <v>656</v>
      </c>
      <c r="D170" s="22" t="s">
        <v>74</v>
      </c>
      <c r="E170" s="22">
        <v>300</v>
      </c>
      <c r="F170" s="22" t="s">
        <v>70</v>
      </c>
      <c r="G170" s="24"/>
      <c r="H170" s="25">
        <f>Setari!$B$3</f>
        <v>0.25</v>
      </c>
      <c r="I170" s="26" t="str">
        <f t="shared" ref="I170" si="59">IF(G170="","",G170*(1+H170))</f>
        <v/>
      </c>
      <c r="J170" s="22"/>
      <c r="K170" s="23"/>
    </row>
    <row r="171" spans="1:11">
      <c r="A171" s="22" t="s">
        <v>657</v>
      </c>
      <c r="B171" s="22" t="s">
        <v>71</v>
      </c>
      <c r="C171" s="23" t="s">
        <v>682</v>
      </c>
      <c r="D171" s="22" t="s">
        <v>72</v>
      </c>
      <c r="E171" s="22">
        <v>15</v>
      </c>
      <c r="F171" s="22" t="s">
        <v>70</v>
      </c>
      <c r="G171" s="24"/>
      <c r="H171" s="25">
        <f>Setari!$B$3</f>
        <v>0.25</v>
      </c>
      <c r="I171" s="26" t="str">
        <f t="shared" si="53"/>
        <v/>
      </c>
      <c r="J171" s="22"/>
      <c r="K171" s="23"/>
    </row>
    <row r="172" spans="1:11">
      <c r="A172" s="22" t="s">
        <v>658</v>
      </c>
      <c r="B172" s="22" t="s">
        <v>71</v>
      </c>
      <c r="C172" s="23" t="s">
        <v>683</v>
      </c>
      <c r="D172" s="22" t="s">
        <v>72</v>
      </c>
      <c r="E172" s="22">
        <v>20</v>
      </c>
      <c r="F172" s="22" t="s">
        <v>70</v>
      </c>
      <c r="G172" s="24"/>
      <c r="H172" s="25">
        <f>Setari!$B$3</f>
        <v>0.25</v>
      </c>
      <c r="I172" s="26" t="str">
        <f t="shared" si="53"/>
        <v/>
      </c>
      <c r="J172" s="22"/>
      <c r="K172" s="23"/>
    </row>
    <row r="173" spans="1:11">
      <c r="A173" s="22" t="s">
        <v>659</v>
      </c>
      <c r="B173" s="22" t="s">
        <v>71</v>
      </c>
      <c r="C173" s="23" t="s">
        <v>684</v>
      </c>
      <c r="D173" s="22" t="s">
        <v>72</v>
      </c>
      <c r="E173" s="22">
        <v>25</v>
      </c>
      <c r="F173" s="22" t="s">
        <v>70</v>
      </c>
      <c r="G173" s="24"/>
      <c r="H173" s="25">
        <f>Setari!$B$3</f>
        <v>0.25</v>
      </c>
      <c r="I173" s="26" t="str">
        <f t="shared" si="53"/>
        <v/>
      </c>
      <c r="J173" s="22"/>
      <c r="K173" s="23"/>
    </row>
    <row r="174" spans="1:11">
      <c r="A174" s="22" t="s">
        <v>660</v>
      </c>
      <c r="B174" s="22" t="s">
        <v>71</v>
      </c>
      <c r="C174" s="23" t="s">
        <v>685</v>
      </c>
      <c r="D174" s="22" t="s">
        <v>72</v>
      </c>
      <c r="E174" s="22">
        <v>32</v>
      </c>
      <c r="F174" s="22" t="s">
        <v>70</v>
      </c>
      <c r="G174" s="24"/>
      <c r="H174" s="25">
        <f>Setari!$B$3</f>
        <v>0.25</v>
      </c>
      <c r="I174" s="26" t="str">
        <f t="shared" si="53"/>
        <v/>
      </c>
      <c r="J174" s="22"/>
      <c r="K174" s="23"/>
    </row>
    <row r="175" spans="1:11">
      <c r="A175" s="22" t="s">
        <v>661</v>
      </c>
      <c r="B175" s="22" t="s">
        <v>71</v>
      </c>
      <c r="C175" s="23" t="s">
        <v>686</v>
      </c>
      <c r="D175" s="22" t="s">
        <v>72</v>
      </c>
      <c r="E175" s="22">
        <v>40</v>
      </c>
      <c r="F175" s="22" t="s">
        <v>70</v>
      </c>
      <c r="G175" s="24"/>
      <c r="H175" s="25">
        <f>Setari!$B$3</f>
        <v>0.25</v>
      </c>
      <c r="I175" s="26" t="str">
        <f t="shared" si="53"/>
        <v/>
      </c>
      <c r="J175" s="22"/>
      <c r="K175" s="23"/>
    </row>
    <row r="176" spans="1:11">
      <c r="A176" s="22" t="s">
        <v>662</v>
      </c>
      <c r="B176" s="22" t="s">
        <v>71</v>
      </c>
      <c r="C176" s="23" t="s">
        <v>687</v>
      </c>
      <c r="D176" s="22" t="s">
        <v>72</v>
      </c>
      <c r="E176" s="22">
        <v>50</v>
      </c>
      <c r="F176" s="22" t="s">
        <v>70</v>
      </c>
      <c r="G176" s="24"/>
      <c r="H176" s="25">
        <f>Setari!$B$3</f>
        <v>0.25</v>
      </c>
      <c r="I176" s="26" t="str">
        <f t="shared" si="53"/>
        <v/>
      </c>
      <c r="J176" s="22"/>
      <c r="K176" s="23"/>
    </row>
    <row r="177" spans="1:11">
      <c r="A177" s="22" t="s">
        <v>663</v>
      </c>
      <c r="B177" s="22" t="s">
        <v>71</v>
      </c>
      <c r="C177" s="23" t="s">
        <v>688</v>
      </c>
      <c r="D177" s="22" t="s">
        <v>72</v>
      </c>
      <c r="E177" s="22">
        <v>65</v>
      </c>
      <c r="F177" s="22" t="s">
        <v>70</v>
      </c>
      <c r="G177" s="24"/>
      <c r="H177" s="25">
        <f>Setari!$B$3</f>
        <v>0.25</v>
      </c>
      <c r="I177" s="26" t="str">
        <f t="shared" si="53"/>
        <v/>
      </c>
      <c r="J177" s="22"/>
      <c r="K177" s="23"/>
    </row>
    <row r="178" spans="1:11">
      <c r="A178" s="22" t="s">
        <v>664</v>
      </c>
      <c r="B178" s="22" t="s">
        <v>71</v>
      </c>
      <c r="C178" s="23" t="s">
        <v>689</v>
      </c>
      <c r="D178" s="22" t="s">
        <v>72</v>
      </c>
      <c r="E178" s="22">
        <v>80</v>
      </c>
      <c r="F178" s="22" t="s">
        <v>70</v>
      </c>
      <c r="G178" s="24"/>
      <c r="H178" s="25">
        <f>Setari!$B$3</f>
        <v>0.25</v>
      </c>
      <c r="I178" s="26" t="str">
        <f t="shared" si="53"/>
        <v/>
      </c>
      <c r="J178" s="22"/>
      <c r="K178" s="23"/>
    </row>
    <row r="179" spans="1:11">
      <c r="A179" s="22" t="s">
        <v>665</v>
      </c>
      <c r="B179" s="22" t="s">
        <v>71</v>
      </c>
      <c r="C179" s="23" t="s">
        <v>690</v>
      </c>
      <c r="D179" s="22" t="s">
        <v>72</v>
      </c>
      <c r="E179" s="22">
        <v>100</v>
      </c>
      <c r="F179" s="22" t="s">
        <v>70</v>
      </c>
      <c r="G179" s="24"/>
      <c r="H179" s="25">
        <f>Setari!$B$3</f>
        <v>0.25</v>
      </c>
      <c r="I179" s="26" t="str">
        <f t="shared" si="53"/>
        <v/>
      </c>
      <c r="J179" s="22"/>
      <c r="K179" s="23"/>
    </row>
    <row r="180" spans="1:11">
      <c r="A180" s="22" t="s">
        <v>666</v>
      </c>
      <c r="B180" s="22" t="s">
        <v>71</v>
      </c>
      <c r="C180" s="23" t="s">
        <v>691</v>
      </c>
      <c r="D180" s="22" t="s">
        <v>72</v>
      </c>
      <c r="E180" s="22">
        <v>125</v>
      </c>
      <c r="F180" s="22" t="s">
        <v>70</v>
      </c>
      <c r="G180" s="24"/>
      <c r="H180" s="25">
        <f>Setari!$B$3</f>
        <v>0.25</v>
      </c>
      <c r="I180" s="26" t="str">
        <f t="shared" si="53"/>
        <v/>
      </c>
      <c r="J180" s="22"/>
      <c r="K180" s="23"/>
    </row>
    <row r="181" spans="1:11">
      <c r="A181" s="22" t="s">
        <v>667</v>
      </c>
      <c r="B181" s="22" t="s">
        <v>71</v>
      </c>
      <c r="C181" s="23" t="s">
        <v>692</v>
      </c>
      <c r="D181" s="22" t="s">
        <v>72</v>
      </c>
      <c r="E181" s="22">
        <v>150</v>
      </c>
      <c r="F181" s="22" t="s">
        <v>70</v>
      </c>
      <c r="G181" s="24"/>
      <c r="H181" s="25">
        <f>Setari!$B$3</f>
        <v>0.25</v>
      </c>
      <c r="I181" s="26" t="str">
        <f t="shared" ref="I181" si="60">IF(G181="","",G181*(1+H181))</f>
        <v/>
      </c>
      <c r="J181" s="22"/>
      <c r="K181" s="23"/>
    </row>
    <row r="182" spans="1:11">
      <c r="A182" s="22" t="s">
        <v>693</v>
      </c>
      <c r="B182" s="22" t="s">
        <v>71</v>
      </c>
      <c r="C182" s="23" t="s">
        <v>694</v>
      </c>
      <c r="D182" s="22" t="s">
        <v>72</v>
      </c>
      <c r="E182" s="22">
        <v>200</v>
      </c>
      <c r="F182" s="22" t="s">
        <v>70</v>
      </c>
      <c r="G182" s="24"/>
      <c r="H182" s="25">
        <f>Setari!$B$3</f>
        <v>0.25</v>
      </c>
      <c r="I182" s="26" t="str">
        <f t="shared" ref="I182" si="61">IF(G182="","",G182*(1+H182))</f>
        <v/>
      </c>
      <c r="J182" s="22"/>
      <c r="K182" s="23"/>
    </row>
    <row r="183" spans="1:11">
      <c r="A183" s="22" t="s">
        <v>695</v>
      </c>
      <c r="B183" s="22" t="s">
        <v>71</v>
      </c>
      <c r="C183" s="23" t="s">
        <v>696</v>
      </c>
      <c r="D183" s="22" t="s">
        <v>72</v>
      </c>
      <c r="E183" s="22">
        <v>250</v>
      </c>
      <c r="F183" s="22" t="s">
        <v>70</v>
      </c>
      <c r="G183" s="24"/>
      <c r="H183" s="25">
        <f>Setari!$B$3</f>
        <v>0.25</v>
      </c>
      <c r="I183" s="26" t="str">
        <f t="shared" ref="I183" si="62">IF(G183="","",G183*(1+H183))</f>
        <v/>
      </c>
      <c r="J183" s="22"/>
      <c r="K183" s="23"/>
    </row>
    <row r="184" spans="1:11">
      <c r="A184" s="22" t="s">
        <v>697</v>
      </c>
      <c r="B184" s="22" t="s">
        <v>71</v>
      </c>
      <c r="C184" s="23" t="s">
        <v>698</v>
      </c>
      <c r="D184" s="22" t="s">
        <v>72</v>
      </c>
      <c r="E184" s="22">
        <v>300</v>
      </c>
      <c r="F184" s="22" t="s">
        <v>70</v>
      </c>
      <c r="G184" s="24"/>
      <c r="H184" s="25">
        <f>Setari!$B$3</f>
        <v>0.25</v>
      </c>
      <c r="I184" s="26" t="str">
        <f t="shared" ref="I184" si="63">IF(G184="","",G184*(1+H184))</f>
        <v/>
      </c>
      <c r="J184" s="22"/>
      <c r="K184" s="23"/>
    </row>
    <row r="185" spans="1:11">
      <c r="A185" s="22" t="s">
        <v>119</v>
      </c>
      <c r="B185" s="22" t="s">
        <v>71</v>
      </c>
      <c r="C185" s="23" t="s">
        <v>699</v>
      </c>
      <c r="D185" s="22" t="s">
        <v>74</v>
      </c>
      <c r="E185" s="22" t="s">
        <v>120</v>
      </c>
      <c r="F185" s="22" t="s">
        <v>70</v>
      </c>
      <c r="G185" s="24"/>
      <c r="H185" s="25">
        <f>Setari!$B$3</f>
        <v>0.25</v>
      </c>
      <c r="I185" s="26" t="str">
        <f t="shared" si="53"/>
        <v/>
      </c>
      <c r="J185" s="22"/>
      <c r="K185" s="23"/>
    </row>
    <row r="186" spans="1:11">
      <c r="A186" s="22" t="s">
        <v>121</v>
      </c>
      <c r="B186" s="22" t="s">
        <v>71</v>
      </c>
      <c r="C186" s="23" t="s">
        <v>700</v>
      </c>
      <c r="D186" s="22" t="s">
        <v>74</v>
      </c>
      <c r="E186" s="22" t="s">
        <v>122</v>
      </c>
      <c r="F186" s="22" t="s">
        <v>70</v>
      </c>
      <c r="G186" s="24"/>
      <c r="H186" s="25">
        <f>Setari!$B$3</f>
        <v>0.25</v>
      </c>
      <c r="I186" s="26" t="str">
        <f t="shared" si="53"/>
        <v/>
      </c>
      <c r="J186" s="22"/>
      <c r="K186" s="23"/>
    </row>
    <row r="187" spans="1:11">
      <c r="A187" s="22" t="s">
        <v>123</v>
      </c>
      <c r="B187" s="22" t="s">
        <v>71</v>
      </c>
      <c r="C187" s="23" t="s">
        <v>701</v>
      </c>
      <c r="D187" s="22" t="s">
        <v>74</v>
      </c>
      <c r="E187" s="22" t="s">
        <v>124</v>
      </c>
      <c r="F187" s="22" t="s">
        <v>70</v>
      </c>
      <c r="G187" s="24"/>
      <c r="H187" s="25">
        <f>Setari!$B$3</f>
        <v>0.25</v>
      </c>
      <c r="I187" s="26" t="str">
        <f t="shared" si="53"/>
        <v/>
      </c>
      <c r="J187" s="22"/>
      <c r="K187" s="23"/>
    </row>
    <row r="188" spans="1:11">
      <c r="A188" s="22" t="s">
        <v>125</v>
      </c>
      <c r="B188" s="22" t="s">
        <v>71</v>
      </c>
      <c r="C188" s="23" t="s">
        <v>702</v>
      </c>
      <c r="D188" s="22" t="s">
        <v>74</v>
      </c>
      <c r="E188" s="22" t="s">
        <v>126</v>
      </c>
      <c r="F188" s="22" t="s">
        <v>70</v>
      </c>
      <c r="G188" s="24">
        <v>189.6</v>
      </c>
      <c r="H188" s="25">
        <f>Setari!$B$3</f>
        <v>0.25</v>
      </c>
      <c r="I188" s="26">
        <f t="shared" si="53"/>
        <v>237</v>
      </c>
      <c r="J188" s="22"/>
      <c r="K188" s="23"/>
    </row>
    <row r="189" spans="1:11">
      <c r="A189" s="22" t="s">
        <v>127</v>
      </c>
      <c r="B189" s="22" t="s">
        <v>71</v>
      </c>
      <c r="C189" s="23" t="s">
        <v>703</v>
      </c>
      <c r="D189" s="22" t="s">
        <v>74</v>
      </c>
      <c r="E189" s="22" t="s">
        <v>128</v>
      </c>
      <c r="F189" s="22" t="s">
        <v>70</v>
      </c>
      <c r="G189" s="24"/>
      <c r="H189" s="25">
        <f>Setari!$B$3</f>
        <v>0.25</v>
      </c>
      <c r="I189" s="26" t="str">
        <f t="shared" si="53"/>
        <v/>
      </c>
      <c r="J189" s="22"/>
      <c r="K189" s="23"/>
    </row>
    <row r="190" spans="1:11">
      <c r="A190" s="22" t="s">
        <v>129</v>
      </c>
      <c r="B190" s="22" t="s">
        <v>71</v>
      </c>
      <c r="C190" s="23" t="s">
        <v>704</v>
      </c>
      <c r="D190" s="22" t="s">
        <v>74</v>
      </c>
      <c r="E190" s="22" t="s">
        <v>130</v>
      </c>
      <c r="F190" s="22" t="s">
        <v>70</v>
      </c>
      <c r="G190" s="24"/>
      <c r="H190" s="25">
        <f>Setari!$B$3</f>
        <v>0.25</v>
      </c>
      <c r="I190" s="26" t="str">
        <f t="shared" si="53"/>
        <v/>
      </c>
      <c r="J190" s="22"/>
      <c r="K190" s="23"/>
    </row>
    <row r="191" spans="1:11">
      <c r="A191" s="22" t="s">
        <v>131</v>
      </c>
      <c r="B191" s="22" t="s">
        <v>71</v>
      </c>
      <c r="C191" s="23" t="s">
        <v>705</v>
      </c>
      <c r="D191" s="22" t="s">
        <v>74</v>
      </c>
      <c r="E191" s="22" t="s">
        <v>132</v>
      </c>
      <c r="F191" s="22" t="s">
        <v>70</v>
      </c>
      <c r="G191" s="24"/>
      <c r="H191" s="25">
        <f>Setari!$B$3</f>
        <v>0.25</v>
      </c>
      <c r="I191" s="26" t="str">
        <f t="shared" si="53"/>
        <v/>
      </c>
      <c r="J191" s="22"/>
      <c r="K191" s="23"/>
    </row>
    <row r="192" spans="1:11">
      <c r="A192" s="22" t="s">
        <v>133</v>
      </c>
      <c r="B192" s="22" t="s">
        <v>71</v>
      </c>
      <c r="C192" s="23" t="s">
        <v>706</v>
      </c>
      <c r="D192" s="22" t="s">
        <v>74</v>
      </c>
      <c r="E192" s="22" t="s">
        <v>134</v>
      </c>
      <c r="F192" s="22" t="s">
        <v>70</v>
      </c>
      <c r="G192" s="24"/>
      <c r="H192" s="25">
        <f>Setari!$B$3</f>
        <v>0.25</v>
      </c>
      <c r="I192" s="26" t="str">
        <f t="shared" si="53"/>
        <v/>
      </c>
      <c r="J192" s="22"/>
      <c r="K192" s="23"/>
    </row>
    <row r="193" spans="1:11">
      <c r="A193" s="22" t="s">
        <v>135</v>
      </c>
      <c r="B193" s="22" t="s">
        <v>71</v>
      </c>
      <c r="C193" s="23" t="s">
        <v>136</v>
      </c>
      <c r="D193" s="22" t="s">
        <v>74</v>
      </c>
      <c r="E193" s="22" t="s">
        <v>137</v>
      </c>
      <c r="F193" s="22" t="s">
        <v>70</v>
      </c>
      <c r="G193" s="24"/>
      <c r="H193" s="25">
        <f>Setari!$B$3</f>
        <v>0.25</v>
      </c>
      <c r="I193" s="26" t="str">
        <f t="shared" si="53"/>
        <v/>
      </c>
      <c r="J193" s="22"/>
      <c r="K193" s="23"/>
    </row>
    <row r="194" spans="1:11">
      <c r="A194" s="22" t="s">
        <v>138</v>
      </c>
      <c r="B194" s="22" t="s">
        <v>71</v>
      </c>
      <c r="C194" s="23" t="s">
        <v>139</v>
      </c>
      <c r="D194" s="22" t="s">
        <v>74</v>
      </c>
      <c r="E194" s="22" t="s">
        <v>140</v>
      </c>
      <c r="F194" s="22" t="s">
        <v>70</v>
      </c>
      <c r="G194" s="24"/>
      <c r="H194" s="25">
        <f>Setari!$B$3</f>
        <v>0.25</v>
      </c>
      <c r="I194" s="26" t="str">
        <f t="shared" si="53"/>
        <v/>
      </c>
      <c r="J194" s="22"/>
      <c r="K194" s="23"/>
    </row>
    <row r="195" spans="1:11">
      <c r="A195" s="22" t="s">
        <v>141</v>
      </c>
      <c r="B195" s="22" t="s">
        <v>71</v>
      </c>
      <c r="C195" s="23" t="s">
        <v>142</v>
      </c>
      <c r="D195" s="22" t="s">
        <v>74</v>
      </c>
      <c r="E195" s="22" t="s">
        <v>143</v>
      </c>
      <c r="F195" s="22" t="s">
        <v>70</v>
      </c>
      <c r="G195" s="24"/>
      <c r="H195" s="25">
        <f>Setari!$B$3</f>
        <v>0.25</v>
      </c>
      <c r="I195" s="26" t="str">
        <f t="shared" si="53"/>
        <v/>
      </c>
      <c r="J195" s="22"/>
      <c r="K195" s="23"/>
    </row>
    <row r="196" spans="1:11">
      <c r="A196" s="22" t="s">
        <v>144</v>
      </c>
      <c r="B196" s="22" t="s">
        <v>71</v>
      </c>
      <c r="C196" s="23" t="s">
        <v>145</v>
      </c>
      <c r="D196" s="22" t="s">
        <v>74</v>
      </c>
      <c r="E196" s="22" t="s">
        <v>146</v>
      </c>
      <c r="F196" s="22" t="s">
        <v>70</v>
      </c>
      <c r="G196" s="24"/>
      <c r="H196" s="25">
        <f>Setari!$B$3</f>
        <v>0.25</v>
      </c>
      <c r="I196" s="26" t="str">
        <f t="shared" si="53"/>
        <v/>
      </c>
      <c r="J196" s="22"/>
      <c r="K196" s="23"/>
    </row>
    <row r="197" spans="1:11">
      <c r="A197" s="22" t="s">
        <v>147</v>
      </c>
      <c r="B197" s="22" t="s">
        <v>71</v>
      </c>
      <c r="C197" s="23" t="s">
        <v>148</v>
      </c>
      <c r="D197" s="22" t="s">
        <v>74</v>
      </c>
      <c r="E197" s="22" t="s">
        <v>149</v>
      </c>
      <c r="F197" s="22" t="s">
        <v>70</v>
      </c>
      <c r="G197" s="24"/>
      <c r="H197" s="25">
        <f>Setari!$B$3</f>
        <v>0.25</v>
      </c>
      <c r="I197" s="26" t="str">
        <f t="shared" si="53"/>
        <v/>
      </c>
      <c r="J197" s="22"/>
      <c r="K197" s="23"/>
    </row>
    <row r="198" spans="1:11">
      <c r="A198" s="22" t="s">
        <v>150</v>
      </c>
      <c r="B198" s="22" t="s">
        <v>71</v>
      </c>
      <c r="C198" s="23" t="s">
        <v>151</v>
      </c>
      <c r="D198" s="22" t="s">
        <v>74</v>
      </c>
      <c r="E198" s="22" t="s">
        <v>152</v>
      </c>
      <c r="F198" s="22" t="s">
        <v>70</v>
      </c>
      <c r="G198" s="24"/>
      <c r="H198" s="25">
        <f>Setari!$B$3</f>
        <v>0.25</v>
      </c>
      <c r="I198" s="26" t="str">
        <f t="shared" si="53"/>
        <v/>
      </c>
      <c r="J198" s="22"/>
      <c r="K198" s="23"/>
    </row>
    <row r="199" spans="1:11">
      <c r="A199" s="22" t="s">
        <v>153</v>
      </c>
      <c r="B199" s="22" t="s">
        <v>71</v>
      </c>
      <c r="C199" s="23" t="s">
        <v>154</v>
      </c>
      <c r="D199" s="22" t="s">
        <v>74</v>
      </c>
      <c r="E199" s="22" t="s">
        <v>155</v>
      </c>
      <c r="F199" s="22" t="s">
        <v>70</v>
      </c>
      <c r="G199" s="24"/>
      <c r="H199" s="25">
        <f>Setari!$B$3</f>
        <v>0.25</v>
      </c>
      <c r="I199" s="26" t="str">
        <f t="shared" si="53"/>
        <v/>
      </c>
      <c r="J199" s="22"/>
      <c r="K199" s="23"/>
    </row>
    <row r="200" spans="1:11">
      <c r="A200" s="22" t="s">
        <v>708</v>
      </c>
      <c r="B200" s="22" t="s">
        <v>71</v>
      </c>
      <c r="C200" s="23" t="s">
        <v>707</v>
      </c>
      <c r="D200" s="22" t="s">
        <v>72</v>
      </c>
      <c r="E200" s="22" t="s">
        <v>120</v>
      </c>
      <c r="F200" s="22" t="s">
        <v>70</v>
      </c>
      <c r="G200" s="24"/>
      <c r="H200" s="25">
        <f>Setari!$B$3</f>
        <v>0.25</v>
      </c>
      <c r="I200" s="26" t="str">
        <f t="shared" si="53"/>
        <v/>
      </c>
      <c r="J200" s="22"/>
      <c r="K200" s="23"/>
    </row>
    <row r="201" spans="1:11">
      <c r="A201" s="22" t="s">
        <v>709</v>
      </c>
      <c r="B201" s="22" t="s">
        <v>71</v>
      </c>
      <c r="C201" s="23" t="s">
        <v>729</v>
      </c>
      <c r="D201" s="22" t="s">
        <v>72</v>
      </c>
      <c r="E201" s="22" t="s">
        <v>122</v>
      </c>
      <c r="F201" s="22" t="s">
        <v>70</v>
      </c>
      <c r="G201" s="24"/>
      <c r="H201" s="25">
        <f>Setari!$B$3</f>
        <v>0.25</v>
      </c>
      <c r="I201" s="26" t="str">
        <f t="shared" si="53"/>
        <v/>
      </c>
      <c r="J201" s="22"/>
      <c r="K201" s="23"/>
    </row>
    <row r="202" spans="1:11">
      <c r="A202" s="22" t="s">
        <v>710</v>
      </c>
      <c r="B202" s="22" t="s">
        <v>71</v>
      </c>
      <c r="C202" s="23" t="s">
        <v>728</v>
      </c>
      <c r="D202" s="22" t="s">
        <v>72</v>
      </c>
      <c r="E202" s="22" t="s">
        <v>124</v>
      </c>
      <c r="F202" s="22" t="s">
        <v>70</v>
      </c>
      <c r="G202" s="24"/>
      <c r="H202" s="25">
        <f>Setari!$B$3</f>
        <v>0.25</v>
      </c>
      <c r="I202" s="26" t="str">
        <f t="shared" si="53"/>
        <v/>
      </c>
      <c r="J202" s="22"/>
      <c r="K202" s="23"/>
    </row>
    <row r="203" spans="1:11">
      <c r="A203" s="22" t="s">
        <v>711</v>
      </c>
      <c r="B203" s="22" t="s">
        <v>71</v>
      </c>
      <c r="C203" s="23" t="s">
        <v>727</v>
      </c>
      <c r="D203" s="22" t="s">
        <v>72</v>
      </c>
      <c r="E203" s="22" t="s">
        <v>126</v>
      </c>
      <c r="F203" s="22" t="s">
        <v>70</v>
      </c>
      <c r="G203" s="24"/>
      <c r="H203" s="25">
        <f>Setari!$B$3</f>
        <v>0.25</v>
      </c>
      <c r="I203" s="26" t="str">
        <f t="shared" si="53"/>
        <v/>
      </c>
      <c r="J203" s="22"/>
      <c r="K203" s="23"/>
    </row>
    <row r="204" spans="1:11">
      <c r="A204" s="22" t="s">
        <v>712</v>
      </c>
      <c r="B204" s="22" t="s">
        <v>71</v>
      </c>
      <c r="C204" s="23" t="s">
        <v>726</v>
      </c>
      <c r="D204" s="22" t="s">
        <v>72</v>
      </c>
      <c r="E204" s="22" t="s">
        <v>128</v>
      </c>
      <c r="F204" s="22" t="s">
        <v>70</v>
      </c>
      <c r="G204" s="24"/>
      <c r="H204" s="25">
        <f>Setari!$B$3</f>
        <v>0.25</v>
      </c>
      <c r="I204" s="26" t="str">
        <f t="shared" si="53"/>
        <v/>
      </c>
      <c r="J204" s="22"/>
      <c r="K204" s="23"/>
    </row>
    <row r="205" spans="1:11">
      <c r="A205" s="22" t="s">
        <v>713</v>
      </c>
      <c r="B205" s="22" t="s">
        <v>71</v>
      </c>
      <c r="C205" s="23" t="s">
        <v>725</v>
      </c>
      <c r="D205" s="22" t="s">
        <v>72</v>
      </c>
      <c r="E205" s="22" t="s">
        <v>130</v>
      </c>
      <c r="F205" s="22" t="s">
        <v>70</v>
      </c>
      <c r="G205" s="24"/>
      <c r="H205" s="25">
        <f>Setari!$B$3</f>
        <v>0.25</v>
      </c>
      <c r="I205" s="26" t="str">
        <f t="shared" si="53"/>
        <v/>
      </c>
      <c r="J205" s="22"/>
      <c r="K205" s="23"/>
    </row>
    <row r="206" spans="1:11">
      <c r="A206" s="22" t="s">
        <v>714</v>
      </c>
      <c r="B206" s="22" t="s">
        <v>71</v>
      </c>
      <c r="C206" s="23" t="s">
        <v>724</v>
      </c>
      <c r="D206" s="22" t="s">
        <v>72</v>
      </c>
      <c r="E206" s="22" t="s">
        <v>132</v>
      </c>
      <c r="F206" s="22" t="s">
        <v>70</v>
      </c>
      <c r="G206" s="24"/>
      <c r="H206" s="25">
        <f>Setari!$B$3</f>
        <v>0.25</v>
      </c>
      <c r="I206" s="26" t="str">
        <f t="shared" si="53"/>
        <v/>
      </c>
      <c r="J206" s="22"/>
      <c r="K206" s="23"/>
    </row>
    <row r="207" spans="1:11">
      <c r="A207" s="22" t="s">
        <v>715</v>
      </c>
      <c r="B207" s="22" t="s">
        <v>71</v>
      </c>
      <c r="C207" s="23" t="s">
        <v>723</v>
      </c>
      <c r="D207" s="22" t="s">
        <v>72</v>
      </c>
      <c r="E207" s="22" t="s">
        <v>134</v>
      </c>
      <c r="F207" s="22" t="s">
        <v>70</v>
      </c>
      <c r="G207" s="24"/>
      <c r="H207" s="25">
        <f>Setari!$B$3</f>
        <v>0.25</v>
      </c>
      <c r="I207" s="26" t="str">
        <f t="shared" si="53"/>
        <v/>
      </c>
      <c r="J207" s="22"/>
      <c r="K207" s="23"/>
    </row>
    <row r="208" spans="1:11">
      <c r="A208" s="22" t="s">
        <v>716</v>
      </c>
      <c r="B208" s="22" t="s">
        <v>71</v>
      </c>
      <c r="C208" s="23" t="s">
        <v>157</v>
      </c>
      <c r="D208" s="22" t="s">
        <v>72</v>
      </c>
      <c r="E208" s="22" t="s">
        <v>137</v>
      </c>
      <c r="F208" s="22" t="s">
        <v>70</v>
      </c>
      <c r="G208" s="24"/>
      <c r="H208" s="25">
        <f>Setari!$B$3</f>
        <v>0.25</v>
      </c>
      <c r="I208" s="26" t="str">
        <f t="shared" si="53"/>
        <v/>
      </c>
      <c r="J208" s="22"/>
      <c r="K208" s="23"/>
    </row>
    <row r="209" spans="1:11">
      <c r="A209" s="22" t="s">
        <v>717</v>
      </c>
      <c r="B209" s="22" t="s">
        <v>71</v>
      </c>
      <c r="C209" s="23" t="s">
        <v>158</v>
      </c>
      <c r="D209" s="22" t="s">
        <v>72</v>
      </c>
      <c r="E209" s="22" t="s">
        <v>140</v>
      </c>
      <c r="F209" s="22" t="s">
        <v>70</v>
      </c>
      <c r="G209" s="24"/>
      <c r="H209" s="25">
        <f>Setari!$B$3</f>
        <v>0.25</v>
      </c>
      <c r="I209" s="26" t="str">
        <f t="shared" si="53"/>
        <v/>
      </c>
      <c r="J209" s="22"/>
      <c r="K209" s="23"/>
    </row>
    <row r="210" spans="1:11">
      <c r="A210" s="22" t="s">
        <v>718</v>
      </c>
      <c r="B210" s="22" t="s">
        <v>71</v>
      </c>
      <c r="C210" s="23" t="s">
        <v>159</v>
      </c>
      <c r="D210" s="22" t="s">
        <v>72</v>
      </c>
      <c r="E210" s="22" t="s">
        <v>143</v>
      </c>
      <c r="F210" s="22" t="s">
        <v>70</v>
      </c>
      <c r="G210" s="24"/>
      <c r="H210" s="25">
        <f>Setari!$B$3</f>
        <v>0.25</v>
      </c>
      <c r="I210" s="26" t="str">
        <f t="shared" si="53"/>
        <v/>
      </c>
      <c r="J210" s="22"/>
      <c r="K210" s="23"/>
    </row>
    <row r="211" spans="1:11">
      <c r="A211" s="22" t="s">
        <v>719</v>
      </c>
      <c r="B211" s="22" t="s">
        <v>71</v>
      </c>
      <c r="C211" s="23" t="s">
        <v>160</v>
      </c>
      <c r="D211" s="22" t="s">
        <v>72</v>
      </c>
      <c r="E211" s="22" t="s">
        <v>146</v>
      </c>
      <c r="F211" s="22" t="s">
        <v>70</v>
      </c>
      <c r="G211" s="24"/>
      <c r="H211" s="25">
        <f>Setari!$B$3</f>
        <v>0.25</v>
      </c>
      <c r="I211" s="26" t="str">
        <f t="shared" si="53"/>
        <v/>
      </c>
      <c r="J211" s="22"/>
      <c r="K211" s="23"/>
    </row>
    <row r="212" spans="1:11">
      <c r="A212" s="22" t="s">
        <v>720</v>
      </c>
      <c r="B212" s="22" t="s">
        <v>71</v>
      </c>
      <c r="C212" s="23" t="s">
        <v>161</v>
      </c>
      <c r="D212" s="22" t="s">
        <v>72</v>
      </c>
      <c r="E212" s="22" t="s">
        <v>149</v>
      </c>
      <c r="F212" s="22" t="s">
        <v>70</v>
      </c>
      <c r="G212" s="24"/>
      <c r="H212" s="25">
        <f>Setari!$B$3</f>
        <v>0.25</v>
      </c>
      <c r="I212" s="26" t="str">
        <f t="shared" si="53"/>
        <v/>
      </c>
      <c r="J212" s="22"/>
      <c r="K212" s="23"/>
    </row>
    <row r="213" spans="1:11">
      <c r="A213" s="22" t="s">
        <v>721</v>
      </c>
      <c r="B213" s="22" t="s">
        <v>71</v>
      </c>
      <c r="C213" s="23" t="s">
        <v>162</v>
      </c>
      <c r="D213" s="22" t="s">
        <v>72</v>
      </c>
      <c r="E213" s="22" t="s">
        <v>152</v>
      </c>
      <c r="F213" s="22" t="s">
        <v>70</v>
      </c>
      <c r="G213" s="24"/>
      <c r="H213" s="25">
        <f>Setari!$B$3</f>
        <v>0.25</v>
      </c>
      <c r="I213" s="26" t="str">
        <f t="shared" si="53"/>
        <v/>
      </c>
      <c r="J213" s="22"/>
      <c r="K213" s="23"/>
    </row>
    <row r="214" spans="1:11">
      <c r="A214" s="22" t="s">
        <v>722</v>
      </c>
      <c r="B214" s="22" t="s">
        <v>71</v>
      </c>
      <c r="C214" s="23" t="s">
        <v>163</v>
      </c>
      <c r="D214" s="22" t="s">
        <v>72</v>
      </c>
      <c r="E214" s="22" t="s">
        <v>155</v>
      </c>
      <c r="F214" s="22" t="s">
        <v>70</v>
      </c>
      <c r="G214" s="24"/>
      <c r="H214" s="25">
        <f>Setari!$B$3</f>
        <v>0.25</v>
      </c>
      <c r="I214" s="26" t="str">
        <f t="shared" si="53"/>
        <v/>
      </c>
      <c r="J214" s="22"/>
      <c r="K214" s="23"/>
    </row>
    <row r="215" spans="1:11">
      <c r="A215" s="22" t="s">
        <v>740</v>
      </c>
      <c r="B215" s="22" t="s">
        <v>71</v>
      </c>
      <c r="C215" s="23" t="s">
        <v>741</v>
      </c>
      <c r="D215" s="22" t="s">
        <v>74</v>
      </c>
      <c r="E215" s="22">
        <v>15</v>
      </c>
      <c r="F215" s="22" t="s">
        <v>70</v>
      </c>
      <c r="G215" s="24"/>
      <c r="H215" s="25">
        <f>Setari!$B$3</f>
        <v>0.25</v>
      </c>
      <c r="I215" s="26" t="str">
        <f t="shared" ref="I215" si="64">IF(G215="","",G215*(1+H215))</f>
        <v/>
      </c>
      <c r="J215" s="22"/>
      <c r="K215" s="23"/>
    </row>
    <row r="216" spans="1:11">
      <c r="A216" s="22" t="s">
        <v>742</v>
      </c>
      <c r="B216" s="22" t="s">
        <v>71</v>
      </c>
      <c r="C216" s="23" t="s">
        <v>743</v>
      </c>
      <c r="D216" s="22" t="s">
        <v>74</v>
      </c>
      <c r="E216" s="22">
        <v>20</v>
      </c>
      <c r="F216" s="22" t="s">
        <v>70</v>
      </c>
      <c r="G216" s="24"/>
      <c r="H216" s="25">
        <f>Setari!$B$3</f>
        <v>0.25</v>
      </c>
      <c r="I216" s="26" t="str">
        <f t="shared" ref="I216" si="65">IF(G216="","",G216*(1+H216))</f>
        <v/>
      </c>
      <c r="J216" s="22"/>
      <c r="K216" s="23"/>
    </row>
    <row r="217" spans="1:11">
      <c r="A217" s="22" t="s">
        <v>744</v>
      </c>
      <c r="B217" s="22" t="s">
        <v>71</v>
      </c>
      <c r="C217" s="23" t="s">
        <v>745</v>
      </c>
      <c r="D217" s="22" t="s">
        <v>74</v>
      </c>
      <c r="E217" s="22">
        <v>25</v>
      </c>
      <c r="F217" s="22" t="s">
        <v>70</v>
      </c>
      <c r="G217" s="24"/>
      <c r="H217" s="25">
        <f>Setari!$B$3</f>
        <v>0.25</v>
      </c>
      <c r="I217" s="26" t="str">
        <f t="shared" ref="I217" si="66">IF(G217="","",G217*(1+H217))</f>
        <v/>
      </c>
      <c r="J217" s="22"/>
      <c r="K217" s="23"/>
    </row>
    <row r="218" spans="1:11">
      <c r="A218" s="22" t="s">
        <v>746</v>
      </c>
      <c r="B218" s="22" t="s">
        <v>71</v>
      </c>
      <c r="C218" s="23" t="s">
        <v>747</v>
      </c>
      <c r="D218" s="22" t="s">
        <v>74</v>
      </c>
      <c r="E218" s="22">
        <v>32</v>
      </c>
      <c r="F218" s="22" t="s">
        <v>70</v>
      </c>
      <c r="G218" s="24"/>
      <c r="H218" s="25">
        <f>Setari!$B$3</f>
        <v>0.25</v>
      </c>
      <c r="I218" s="26" t="str">
        <f t="shared" ref="I218" si="67">IF(G218="","",G218*(1+H218))</f>
        <v/>
      </c>
      <c r="J218" s="22"/>
      <c r="K218" s="23"/>
    </row>
    <row r="219" spans="1:11">
      <c r="A219" s="22" t="s">
        <v>748</v>
      </c>
      <c r="B219" s="22" t="s">
        <v>71</v>
      </c>
      <c r="C219" s="23" t="s">
        <v>749</v>
      </c>
      <c r="D219" s="22" t="s">
        <v>74</v>
      </c>
      <c r="E219" s="22">
        <v>40</v>
      </c>
      <c r="F219" s="22" t="s">
        <v>70</v>
      </c>
      <c r="G219" s="24"/>
      <c r="H219" s="25">
        <f>Setari!$B$3</f>
        <v>0.25</v>
      </c>
      <c r="I219" s="26" t="str">
        <f t="shared" ref="I219" si="68">IF(G219="","",G219*(1+H219))</f>
        <v/>
      </c>
      <c r="J219" s="22"/>
      <c r="K219" s="23"/>
    </row>
    <row r="220" spans="1:11">
      <c r="A220" s="22" t="s">
        <v>164</v>
      </c>
      <c r="B220" s="22" t="s">
        <v>71</v>
      </c>
      <c r="C220" s="23" t="s">
        <v>165</v>
      </c>
      <c r="D220" s="22" t="s">
        <v>74</v>
      </c>
      <c r="E220" s="22">
        <v>50</v>
      </c>
      <c r="F220" s="22" t="s">
        <v>70</v>
      </c>
      <c r="G220" s="24"/>
      <c r="H220" s="25">
        <f>Setari!$B$3</f>
        <v>0.25</v>
      </c>
      <c r="I220" s="26" t="str">
        <f t="shared" si="53"/>
        <v/>
      </c>
      <c r="J220" s="22"/>
      <c r="K220" s="23"/>
    </row>
    <row r="221" spans="1:11">
      <c r="A221" s="22" t="s">
        <v>739</v>
      </c>
      <c r="B221" s="22" t="s">
        <v>71</v>
      </c>
      <c r="C221" s="23" t="s">
        <v>730</v>
      </c>
      <c r="D221" s="22" t="s">
        <v>74</v>
      </c>
      <c r="E221" s="22">
        <v>65</v>
      </c>
      <c r="F221" s="22" t="s">
        <v>70</v>
      </c>
      <c r="G221" s="24"/>
      <c r="H221" s="25">
        <f>Setari!$B$3</f>
        <v>0.25</v>
      </c>
      <c r="I221" s="26" t="str">
        <f t="shared" si="53"/>
        <v/>
      </c>
      <c r="J221" s="22"/>
      <c r="K221" s="23"/>
    </row>
    <row r="222" spans="1:11">
      <c r="A222" s="22" t="s">
        <v>738</v>
      </c>
      <c r="B222" s="22" t="s">
        <v>71</v>
      </c>
      <c r="C222" s="23" t="s">
        <v>731</v>
      </c>
      <c r="D222" s="22" t="s">
        <v>74</v>
      </c>
      <c r="E222" s="22">
        <v>80</v>
      </c>
      <c r="F222" s="22" t="s">
        <v>70</v>
      </c>
      <c r="G222" s="24"/>
      <c r="H222" s="25">
        <f>Setari!$B$3</f>
        <v>0.25</v>
      </c>
      <c r="I222" s="26" t="str">
        <f t="shared" si="53"/>
        <v/>
      </c>
      <c r="J222" s="22"/>
      <c r="K222" s="23"/>
    </row>
    <row r="223" spans="1:11">
      <c r="A223" s="22" t="s">
        <v>737</v>
      </c>
      <c r="B223" s="22" t="s">
        <v>71</v>
      </c>
      <c r="C223" s="23" t="s">
        <v>732</v>
      </c>
      <c r="D223" s="22" t="s">
        <v>74</v>
      </c>
      <c r="E223" s="22">
        <v>100</v>
      </c>
      <c r="F223" s="22" t="s">
        <v>70</v>
      </c>
      <c r="G223" s="24"/>
      <c r="H223" s="25">
        <f>Setari!$B$3</f>
        <v>0.25</v>
      </c>
      <c r="I223" s="26" t="str">
        <f t="shared" si="53"/>
        <v/>
      </c>
      <c r="J223" s="22"/>
      <c r="K223" s="23"/>
    </row>
    <row r="224" spans="1:11">
      <c r="A224" s="22" t="s">
        <v>736</v>
      </c>
      <c r="B224" s="22" t="s">
        <v>71</v>
      </c>
      <c r="C224" s="23" t="s">
        <v>733</v>
      </c>
      <c r="D224" s="22" t="s">
        <v>74</v>
      </c>
      <c r="E224" s="22">
        <v>125</v>
      </c>
      <c r="F224" s="22" t="s">
        <v>70</v>
      </c>
      <c r="G224" s="24"/>
      <c r="H224" s="25">
        <f>Setari!$B$3</f>
        <v>0.25</v>
      </c>
      <c r="I224" s="26" t="str">
        <f t="shared" si="53"/>
        <v/>
      </c>
      <c r="J224" s="22"/>
      <c r="K224" s="23"/>
    </row>
    <row r="225" spans="1:11">
      <c r="A225" s="22" t="s">
        <v>735</v>
      </c>
      <c r="B225" s="22" t="s">
        <v>71</v>
      </c>
      <c r="C225" s="23" t="s">
        <v>734</v>
      </c>
      <c r="D225" s="22" t="s">
        <v>74</v>
      </c>
      <c r="E225" s="22">
        <v>150</v>
      </c>
      <c r="F225" s="22" t="s">
        <v>70</v>
      </c>
      <c r="G225" s="24"/>
      <c r="H225" s="25">
        <f>Setari!$B$3</f>
        <v>0.25</v>
      </c>
      <c r="I225" s="26" t="str">
        <f t="shared" si="53"/>
        <v/>
      </c>
      <c r="J225" s="22"/>
      <c r="K225" s="23"/>
    </row>
    <row r="226" spans="1:11">
      <c r="A226" s="22" t="s">
        <v>750</v>
      </c>
      <c r="B226" s="22" t="s">
        <v>71</v>
      </c>
      <c r="C226" s="23" t="s">
        <v>751</v>
      </c>
      <c r="D226" s="22" t="s">
        <v>74</v>
      </c>
      <c r="E226" s="22">
        <v>200</v>
      </c>
      <c r="F226" s="22" t="s">
        <v>70</v>
      </c>
      <c r="G226" s="24"/>
      <c r="H226" s="25">
        <f>Setari!$B$3</f>
        <v>0.25</v>
      </c>
      <c r="I226" s="26" t="str">
        <f t="shared" ref="I226" si="69">IF(G226="","",G226*(1+H226))</f>
        <v/>
      </c>
      <c r="J226" s="22"/>
      <c r="K226" s="23"/>
    </row>
    <row r="227" spans="1:11">
      <c r="A227" s="22" t="s">
        <v>752</v>
      </c>
      <c r="B227" s="22" t="s">
        <v>71</v>
      </c>
      <c r="C227" s="23" t="s">
        <v>753</v>
      </c>
      <c r="D227" s="22" t="s">
        <v>74</v>
      </c>
      <c r="E227" s="22">
        <v>250</v>
      </c>
      <c r="F227" s="22" t="s">
        <v>70</v>
      </c>
      <c r="G227" s="24"/>
      <c r="H227" s="25">
        <f>Setari!$B$3</f>
        <v>0.25</v>
      </c>
      <c r="I227" s="26" t="str">
        <f t="shared" ref="I227:I228" si="70">IF(G227="","",G227*(1+H227))</f>
        <v/>
      </c>
      <c r="J227" s="22"/>
      <c r="K227" s="23"/>
    </row>
    <row r="228" spans="1:11">
      <c r="A228" s="22" t="s">
        <v>766</v>
      </c>
      <c r="B228" s="22" t="s">
        <v>71</v>
      </c>
      <c r="C228" s="23" t="s">
        <v>767</v>
      </c>
      <c r="D228" s="22" t="s">
        <v>72</v>
      </c>
      <c r="E228" s="22">
        <v>15</v>
      </c>
      <c r="F228" s="22" t="s">
        <v>70</v>
      </c>
      <c r="G228" s="24"/>
      <c r="H228" s="25">
        <f>Setari!$B$3</f>
        <v>0.25</v>
      </c>
      <c r="I228" s="26" t="str">
        <f t="shared" si="70"/>
        <v/>
      </c>
      <c r="J228" s="22"/>
      <c r="K228" s="23"/>
    </row>
    <row r="229" spans="1:11">
      <c r="A229" s="22" t="s">
        <v>768</v>
      </c>
      <c r="B229" s="22" t="s">
        <v>71</v>
      </c>
      <c r="C229" s="23" t="s">
        <v>769</v>
      </c>
      <c r="D229" s="22" t="s">
        <v>72</v>
      </c>
      <c r="E229" s="22">
        <v>20</v>
      </c>
      <c r="F229" s="22" t="s">
        <v>70</v>
      </c>
      <c r="G229" s="24"/>
      <c r="H229" s="25">
        <f>Setari!$B$3</f>
        <v>0.25</v>
      </c>
      <c r="I229" s="26" t="str">
        <f t="shared" ref="I229" si="71">IF(G229="","",G229*(1+H229))</f>
        <v/>
      </c>
      <c r="J229" s="22"/>
      <c r="K229" s="23"/>
    </row>
    <row r="230" spans="1:11">
      <c r="A230" s="22" t="s">
        <v>770</v>
      </c>
      <c r="B230" s="22" t="s">
        <v>71</v>
      </c>
      <c r="C230" s="23" t="s">
        <v>771</v>
      </c>
      <c r="D230" s="22" t="s">
        <v>72</v>
      </c>
      <c r="E230" s="22">
        <v>25</v>
      </c>
      <c r="F230" s="22" t="s">
        <v>70</v>
      </c>
      <c r="G230" s="24"/>
      <c r="H230" s="25">
        <f>Setari!$B$3</f>
        <v>0.25</v>
      </c>
      <c r="I230" s="26" t="str">
        <f t="shared" ref="I230" si="72">IF(G230="","",G230*(1+H230))</f>
        <v/>
      </c>
      <c r="J230" s="22"/>
      <c r="K230" s="23"/>
    </row>
    <row r="231" spans="1:11">
      <c r="A231" s="22" t="s">
        <v>772</v>
      </c>
      <c r="B231" s="22" t="s">
        <v>71</v>
      </c>
      <c r="C231" s="23" t="s">
        <v>773</v>
      </c>
      <c r="D231" s="22" t="s">
        <v>72</v>
      </c>
      <c r="E231" s="22">
        <v>32</v>
      </c>
      <c r="F231" s="22" t="s">
        <v>70</v>
      </c>
      <c r="G231" s="24"/>
      <c r="H231" s="25">
        <f>Setari!$B$3</f>
        <v>0.25</v>
      </c>
      <c r="I231" s="26" t="str">
        <f t="shared" ref="I231" si="73">IF(G231="","",G231*(1+H231))</f>
        <v/>
      </c>
      <c r="J231" s="22"/>
      <c r="K231" s="23"/>
    </row>
    <row r="232" spans="1:11">
      <c r="A232" s="22" t="s">
        <v>774</v>
      </c>
      <c r="B232" s="22" t="s">
        <v>71</v>
      </c>
      <c r="C232" s="23" t="s">
        <v>775</v>
      </c>
      <c r="D232" s="22" t="s">
        <v>72</v>
      </c>
      <c r="E232" s="22">
        <v>40</v>
      </c>
      <c r="F232" s="22" t="s">
        <v>70</v>
      </c>
      <c r="G232" s="24"/>
      <c r="H232" s="25">
        <f>Setari!$B$3</f>
        <v>0.25</v>
      </c>
      <c r="I232" s="26" t="str">
        <f t="shared" ref="I232" si="74">IF(G232="","",G232*(1+H232))</f>
        <v/>
      </c>
      <c r="J232" s="22"/>
      <c r="K232" s="23"/>
    </row>
    <row r="233" spans="1:11">
      <c r="A233" s="22" t="s">
        <v>754</v>
      </c>
      <c r="B233" s="22" t="s">
        <v>71</v>
      </c>
      <c r="C233" s="23" t="s">
        <v>760</v>
      </c>
      <c r="D233" s="22" t="s">
        <v>72</v>
      </c>
      <c r="E233" s="22">
        <v>50</v>
      </c>
      <c r="F233" s="22" t="s">
        <v>70</v>
      </c>
      <c r="G233" s="24"/>
      <c r="H233" s="25">
        <f>Setari!$B$3</f>
        <v>0.25</v>
      </c>
      <c r="I233" s="26" t="str">
        <f t="shared" si="53"/>
        <v/>
      </c>
      <c r="J233" s="22"/>
      <c r="K233" s="23"/>
    </row>
    <row r="234" spans="1:11">
      <c r="A234" s="22" t="s">
        <v>755</v>
      </c>
      <c r="B234" s="22" t="s">
        <v>71</v>
      </c>
      <c r="C234" s="23" t="s">
        <v>761</v>
      </c>
      <c r="D234" s="22" t="s">
        <v>72</v>
      </c>
      <c r="E234" s="22">
        <v>65</v>
      </c>
      <c r="F234" s="22" t="s">
        <v>70</v>
      </c>
      <c r="G234" s="24"/>
      <c r="H234" s="25">
        <f>Setari!$B$3</f>
        <v>0.25</v>
      </c>
      <c r="I234" s="26" t="str">
        <f t="shared" si="53"/>
        <v/>
      </c>
      <c r="J234" s="22"/>
      <c r="K234" s="23"/>
    </row>
    <row r="235" spans="1:11">
      <c r="A235" s="22" t="s">
        <v>756</v>
      </c>
      <c r="B235" s="22" t="s">
        <v>71</v>
      </c>
      <c r="C235" s="23" t="s">
        <v>762</v>
      </c>
      <c r="D235" s="22" t="s">
        <v>72</v>
      </c>
      <c r="E235" s="22">
        <v>80</v>
      </c>
      <c r="F235" s="22" t="s">
        <v>70</v>
      </c>
      <c r="G235" s="24"/>
      <c r="H235" s="25">
        <f>Setari!$B$3</f>
        <v>0.25</v>
      </c>
      <c r="I235" s="26" t="str">
        <f t="shared" ref="I235:I300" si="75">IF(G235="","",G235*(1+H235))</f>
        <v/>
      </c>
      <c r="J235" s="22"/>
      <c r="K235" s="23"/>
    </row>
    <row r="236" spans="1:11">
      <c r="A236" s="22" t="s">
        <v>757</v>
      </c>
      <c r="B236" s="22" t="s">
        <v>71</v>
      </c>
      <c r="C236" s="23" t="s">
        <v>763</v>
      </c>
      <c r="D236" s="22" t="s">
        <v>72</v>
      </c>
      <c r="E236" s="22">
        <v>100</v>
      </c>
      <c r="F236" s="22" t="s">
        <v>70</v>
      </c>
      <c r="G236" s="24"/>
      <c r="H236" s="25">
        <f>Setari!$B$3</f>
        <v>0.25</v>
      </c>
      <c r="I236" s="26" t="str">
        <f t="shared" si="75"/>
        <v/>
      </c>
      <c r="J236" s="22"/>
      <c r="K236" s="23"/>
    </row>
    <row r="237" spans="1:11">
      <c r="A237" s="22" t="s">
        <v>758</v>
      </c>
      <c r="B237" s="22" t="s">
        <v>71</v>
      </c>
      <c r="C237" s="23" t="s">
        <v>764</v>
      </c>
      <c r="D237" s="22" t="s">
        <v>72</v>
      </c>
      <c r="E237" s="22">
        <v>125</v>
      </c>
      <c r="F237" s="22" t="s">
        <v>70</v>
      </c>
      <c r="G237" s="24"/>
      <c r="H237" s="25">
        <f>Setari!$B$3</f>
        <v>0.25</v>
      </c>
      <c r="I237" s="26" t="str">
        <f t="shared" si="75"/>
        <v/>
      </c>
      <c r="J237" s="22"/>
      <c r="K237" s="23"/>
    </row>
    <row r="238" spans="1:11">
      <c r="A238" s="22" t="s">
        <v>759</v>
      </c>
      <c r="B238" s="22" t="s">
        <v>71</v>
      </c>
      <c r="C238" s="23" t="s">
        <v>765</v>
      </c>
      <c r="D238" s="22" t="s">
        <v>72</v>
      </c>
      <c r="E238" s="22">
        <v>150</v>
      </c>
      <c r="F238" s="22" t="s">
        <v>70</v>
      </c>
      <c r="G238" s="24"/>
      <c r="H238" s="25">
        <f>Setari!$B$3</f>
        <v>0.25</v>
      </c>
      <c r="I238" s="26" t="str">
        <f t="shared" si="75"/>
        <v/>
      </c>
      <c r="J238" s="22"/>
      <c r="K238" s="23"/>
    </row>
    <row r="239" spans="1:11">
      <c r="A239" s="22" t="s">
        <v>776</v>
      </c>
      <c r="B239" s="22" t="s">
        <v>71</v>
      </c>
      <c r="C239" s="23" t="s">
        <v>777</v>
      </c>
      <c r="D239" s="22" t="s">
        <v>72</v>
      </c>
      <c r="E239" s="22">
        <v>200</v>
      </c>
      <c r="F239" s="22" t="s">
        <v>70</v>
      </c>
      <c r="G239" s="24"/>
      <c r="H239" s="25">
        <f>Setari!$B$3</f>
        <v>0.25</v>
      </c>
      <c r="I239" s="26" t="str">
        <f t="shared" ref="I239" si="76">IF(G239="","",G239*(1+H239))</f>
        <v/>
      </c>
      <c r="J239" s="22"/>
      <c r="K239" s="23"/>
    </row>
    <row r="240" spans="1:11">
      <c r="A240" s="22" t="s">
        <v>778</v>
      </c>
      <c r="B240" s="22" t="s">
        <v>71</v>
      </c>
      <c r="C240" s="23" t="s">
        <v>779</v>
      </c>
      <c r="D240" s="22" t="s">
        <v>72</v>
      </c>
      <c r="E240" s="22">
        <v>250</v>
      </c>
      <c r="F240" s="22" t="s">
        <v>70</v>
      </c>
      <c r="G240" s="24"/>
      <c r="H240" s="25">
        <f>Setari!$B$3</f>
        <v>0.25</v>
      </c>
      <c r="I240" s="26" t="str">
        <f t="shared" ref="I240" si="77">IF(G240="","",G240*(1+H240))</f>
        <v/>
      </c>
      <c r="J240" s="22"/>
      <c r="K240" s="23"/>
    </row>
    <row r="241" spans="1:11">
      <c r="A241" s="22" t="s">
        <v>166</v>
      </c>
      <c r="B241" s="22" t="s">
        <v>71</v>
      </c>
      <c r="C241" s="23" t="s">
        <v>167</v>
      </c>
      <c r="D241" s="22" t="s">
        <v>74</v>
      </c>
      <c r="E241" s="22">
        <v>15</v>
      </c>
      <c r="F241" s="22" t="s">
        <v>70</v>
      </c>
      <c r="G241" s="24"/>
      <c r="H241" s="25">
        <f>Setari!$B$3</f>
        <v>0.25</v>
      </c>
      <c r="I241" s="26" t="str">
        <f t="shared" si="75"/>
        <v/>
      </c>
      <c r="J241" s="22"/>
      <c r="K241" s="23"/>
    </row>
    <row r="242" spans="1:11">
      <c r="A242" s="22" t="s">
        <v>168</v>
      </c>
      <c r="B242" s="22" t="s">
        <v>71</v>
      </c>
      <c r="C242" s="23" t="s">
        <v>169</v>
      </c>
      <c r="D242" s="22" t="s">
        <v>74</v>
      </c>
      <c r="E242" s="22">
        <v>20</v>
      </c>
      <c r="F242" s="22" t="s">
        <v>70</v>
      </c>
      <c r="G242" s="24"/>
      <c r="H242" s="25">
        <f>Setari!$B$3</f>
        <v>0.25</v>
      </c>
      <c r="I242" s="26" t="str">
        <f t="shared" si="75"/>
        <v/>
      </c>
      <c r="J242" s="22"/>
      <c r="K242" s="23"/>
    </row>
    <row r="243" spans="1:11">
      <c r="A243" s="22" t="s">
        <v>170</v>
      </c>
      <c r="B243" s="22" t="s">
        <v>71</v>
      </c>
      <c r="C243" s="23" t="s">
        <v>171</v>
      </c>
      <c r="D243" s="22" t="s">
        <v>74</v>
      </c>
      <c r="E243" s="22">
        <v>25</v>
      </c>
      <c r="F243" s="22" t="s">
        <v>70</v>
      </c>
      <c r="G243" s="24"/>
      <c r="H243" s="25">
        <f>Setari!$B$3</f>
        <v>0.25</v>
      </c>
      <c r="I243" s="26" t="str">
        <f t="shared" si="75"/>
        <v/>
      </c>
      <c r="J243" s="22"/>
      <c r="K243" s="23"/>
    </row>
    <row r="244" spans="1:11">
      <c r="A244" s="22" t="s">
        <v>172</v>
      </c>
      <c r="B244" s="22" t="s">
        <v>71</v>
      </c>
      <c r="C244" s="23" t="s">
        <v>173</v>
      </c>
      <c r="D244" s="22" t="s">
        <v>74</v>
      </c>
      <c r="E244" s="22">
        <v>32</v>
      </c>
      <c r="F244" s="22" t="s">
        <v>70</v>
      </c>
      <c r="G244" s="24"/>
      <c r="H244" s="25">
        <f>Setari!$B$3</f>
        <v>0.25</v>
      </c>
      <c r="I244" s="26" t="str">
        <f t="shared" si="75"/>
        <v/>
      </c>
      <c r="J244" s="22"/>
      <c r="K244" s="23"/>
    </row>
    <row r="245" spans="1:11">
      <c r="A245" s="22" t="s">
        <v>174</v>
      </c>
      <c r="B245" s="22" t="s">
        <v>71</v>
      </c>
      <c r="C245" s="23" t="s">
        <v>175</v>
      </c>
      <c r="D245" s="22" t="s">
        <v>74</v>
      </c>
      <c r="E245" s="22">
        <v>40</v>
      </c>
      <c r="F245" s="22" t="s">
        <v>70</v>
      </c>
      <c r="G245" s="24"/>
      <c r="H245" s="25">
        <f>Setari!$B$3</f>
        <v>0.25</v>
      </c>
      <c r="I245" s="26" t="str">
        <f t="shared" si="75"/>
        <v/>
      </c>
      <c r="J245" s="22"/>
      <c r="K245" s="23"/>
    </row>
    <row r="246" spans="1:11">
      <c r="A246" s="22" t="s">
        <v>176</v>
      </c>
      <c r="B246" s="22" t="s">
        <v>71</v>
      </c>
      <c r="C246" s="23" t="s">
        <v>177</v>
      </c>
      <c r="D246" s="22" t="s">
        <v>74</v>
      </c>
      <c r="E246" s="22">
        <v>50</v>
      </c>
      <c r="F246" s="22" t="s">
        <v>70</v>
      </c>
      <c r="G246" s="24"/>
      <c r="H246" s="25">
        <f>Setari!$B$3</f>
        <v>0.25</v>
      </c>
      <c r="I246" s="26" t="str">
        <f t="shared" si="75"/>
        <v/>
      </c>
      <c r="J246" s="22"/>
      <c r="K246" s="23"/>
    </row>
    <row r="247" spans="1:11">
      <c r="A247" s="22" t="s">
        <v>178</v>
      </c>
      <c r="B247" s="22" t="s">
        <v>71</v>
      </c>
      <c r="C247" s="23" t="s">
        <v>179</v>
      </c>
      <c r="D247" s="22" t="s">
        <v>74</v>
      </c>
      <c r="E247" s="22">
        <v>65</v>
      </c>
      <c r="F247" s="22" t="s">
        <v>70</v>
      </c>
      <c r="G247" s="24"/>
      <c r="H247" s="25">
        <f>Setari!$B$3</f>
        <v>0.25</v>
      </c>
      <c r="I247" s="26" t="str">
        <f t="shared" si="75"/>
        <v/>
      </c>
      <c r="J247" s="22"/>
      <c r="K247" s="23"/>
    </row>
    <row r="248" spans="1:11">
      <c r="A248" s="22" t="s">
        <v>180</v>
      </c>
      <c r="B248" s="22" t="s">
        <v>71</v>
      </c>
      <c r="C248" s="23" t="s">
        <v>181</v>
      </c>
      <c r="D248" s="22" t="s">
        <v>74</v>
      </c>
      <c r="E248" s="22">
        <v>80</v>
      </c>
      <c r="F248" s="22" t="s">
        <v>70</v>
      </c>
      <c r="G248" s="24"/>
      <c r="H248" s="25">
        <f>Setari!$B$3</f>
        <v>0.25</v>
      </c>
      <c r="I248" s="26" t="str">
        <f t="shared" si="75"/>
        <v/>
      </c>
      <c r="J248" s="22"/>
      <c r="K248" s="23"/>
    </row>
    <row r="249" spans="1:11">
      <c r="A249" s="22" t="s">
        <v>182</v>
      </c>
      <c r="B249" s="22" t="s">
        <v>71</v>
      </c>
      <c r="C249" s="23" t="s">
        <v>183</v>
      </c>
      <c r="D249" s="22" t="s">
        <v>74</v>
      </c>
      <c r="E249" s="22">
        <v>100</v>
      </c>
      <c r="F249" s="22" t="s">
        <v>70</v>
      </c>
      <c r="G249" s="24"/>
      <c r="H249" s="25">
        <f>Setari!$B$3</f>
        <v>0.25</v>
      </c>
      <c r="I249" s="26" t="str">
        <f t="shared" si="75"/>
        <v/>
      </c>
      <c r="J249" s="22"/>
      <c r="K249" s="23"/>
    </row>
    <row r="250" spans="1:11">
      <c r="A250" s="22" t="s">
        <v>184</v>
      </c>
      <c r="B250" s="22" t="s">
        <v>71</v>
      </c>
      <c r="C250" s="23" t="s">
        <v>185</v>
      </c>
      <c r="D250" s="22" t="s">
        <v>72</v>
      </c>
      <c r="E250" s="22">
        <v>15</v>
      </c>
      <c r="F250" s="22" t="s">
        <v>70</v>
      </c>
      <c r="G250" s="24">
        <v>4.9000000000000004</v>
      </c>
      <c r="H250" s="25">
        <f>Setari!$B$3</f>
        <v>0.25</v>
      </c>
      <c r="I250" s="26">
        <f t="shared" si="75"/>
        <v>6.125</v>
      </c>
      <c r="J250" s="22"/>
      <c r="K250" s="23"/>
    </row>
    <row r="251" spans="1:11">
      <c r="A251" s="22" t="s">
        <v>186</v>
      </c>
      <c r="B251" s="22" t="s">
        <v>71</v>
      </c>
      <c r="C251" s="23" t="s">
        <v>187</v>
      </c>
      <c r="D251" s="22" t="s">
        <v>72</v>
      </c>
      <c r="E251" s="22">
        <v>20</v>
      </c>
      <c r="F251" s="22" t="s">
        <v>70</v>
      </c>
      <c r="G251" s="24"/>
      <c r="H251" s="25">
        <f>Setari!$B$3</f>
        <v>0.25</v>
      </c>
      <c r="I251" s="26" t="str">
        <f t="shared" si="75"/>
        <v/>
      </c>
      <c r="J251" s="22"/>
      <c r="K251" s="23"/>
    </row>
    <row r="252" spans="1:11">
      <c r="A252" s="22" t="s">
        <v>188</v>
      </c>
      <c r="B252" s="22" t="s">
        <v>71</v>
      </c>
      <c r="C252" s="23" t="s">
        <v>189</v>
      </c>
      <c r="D252" s="22" t="s">
        <v>72</v>
      </c>
      <c r="E252" s="22">
        <v>25</v>
      </c>
      <c r="F252" s="22" t="s">
        <v>70</v>
      </c>
      <c r="G252" s="24"/>
      <c r="H252" s="25">
        <f>Setari!$B$3</f>
        <v>0.25</v>
      </c>
      <c r="I252" s="26" t="str">
        <f t="shared" si="75"/>
        <v/>
      </c>
      <c r="J252" s="22"/>
      <c r="K252" s="23"/>
    </row>
    <row r="253" spans="1:11">
      <c r="A253" s="22" t="s">
        <v>190</v>
      </c>
      <c r="B253" s="22" t="s">
        <v>71</v>
      </c>
      <c r="C253" s="23" t="s">
        <v>191</v>
      </c>
      <c r="D253" s="22" t="s">
        <v>72</v>
      </c>
      <c r="E253" s="22">
        <v>32</v>
      </c>
      <c r="F253" s="22" t="s">
        <v>70</v>
      </c>
      <c r="G253" s="24"/>
      <c r="H253" s="25">
        <f>Setari!$B$3</f>
        <v>0.25</v>
      </c>
      <c r="I253" s="26" t="str">
        <f t="shared" si="75"/>
        <v/>
      </c>
      <c r="J253" s="22"/>
      <c r="K253" s="23"/>
    </row>
    <row r="254" spans="1:11">
      <c r="A254" s="22" t="s">
        <v>192</v>
      </c>
      <c r="B254" s="22" t="s">
        <v>71</v>
      </c>
      <c r="C254" s="23" t="s">
        <v>193</v>
      </c>
      <c r="D254" s="22" t="s">
        <v>72</v>
      </c>
      <c r="E254" s="22">
        <v>40</v>
      </c>
      <c r="F254" s="22" t="s">
        <v>70</v>
      </c>
      <c r="G254" s="24"/>
      <c r="H254" s="25">
        <f>Setari!$B$3</f>
        <v>0.25</v>
      </c>
      <c r="I254" s="26" t="str">
        <f t="shared" si="75"/>
        <v/>
      </c>
      <c r="J254" s="22"/>
      <c r="K254" s="23"/>
    </row>
    <row r="255" spans="1:11">
      <c r="A255" s="22" t="s">
        <v>194</v>
      </c>
      <c r="B255" s="22" t="s">
        <v>71</v>
      </c>
      <c r="C255" s="23" t="s">
        <v>195</v>
      </c>
      <c r="D255" s="22" t="s">
        <v>72</v>
      </c>
      <c r="E255" s="22">
        <v>50</v>
      </c>
      <c r="F255" s="22" t="s">
        <v>70</v>
      </c>
      <c r="G255" s="24"/>
      <c r="H255" s="25">
        <f>Setari!$B$3</f>
        <v>0.25</v>
      </c>
      <c r="I255" s="26" t="str">
        <f t="shared" si="75"/>
        <v/>
      </c>
      <c r="J255" s="22"/>
      <c r="K255" s="23"/>
    </row>
    <row r="256" spans="1:11">
      <c r="A256" s="22" t="s">
        <v>196</v>
      </c>
      <c r="B256" s="22" t="s">
        <v>71</v>
      </c>
      <c r="C256" s="23" t="s">
        <v>197</v>
      </c>
      <c r="D256" s="22" t="s">
        <v>72</v>
      </c>
      <c r="E256" s="22">
        <v>65</v>
      </c>
      <c r="F256" s="22" t="s">
        <v>70</v>
      </c>
      <c r="G256" s="24"/>
      <c r="H256" s="25">
        <f>Setari!$B$3</f>
        <v>0.25</v>
      </c>
      <c r="I256" s="26" t="str">
        <f t="shared" si="75"/>
        <v/>
      </c>
      <c r="J256" s="22"/>
      <c r="K256" s="23"/>
    </row>
    <row r="257" spans="1:11">
      <c r="A257" s="22" t="s">
        <v>198</v>
      </c>
      <c r="B257" s="22" t="s">
        <v>71</v>
      </c>
      <c r="C257" s="23" t="s">
        <v>199</v>
      </c>
      <c r="D257" s="22" t="s">
        <v>72</v>
      </c>
      <c r="E257" s="22">
        <v>80</v>
      </c>
      <c r="F257" s="22" t="s">
        <v>70</v>
      </c>
      <c r="G257" s="24"/>
      <c r="H257" s="25">
        <f>Setari!$B$3</f>
        <v>0.25</v>
      </c>
      <c r="I257" s="26" t="str">
        <f t="shared" si="75"/>
        <v/>
      </c>
      <c r="J257" s="22"/>
      <c r="K257" s="23"/>
    </row>
    <row r="258" spans="1:11">
      <c r="A258" s="22" t="s">
        <v>200</v>
      </c>
      <c r="B258" s="22" t="s">
        <v>71</v>
      </c>
      <c r="C258" s="23" t="s">
        <v>201</v>
      </c>
      <c r="D258" s="22" t="s">
        <v>72</v>
      </c>
      <c r="E258" s="22">
        <v>100</v>
      </c>
      <c r="F258" s="22" t="s">
        <v>70</v>
      </c>
      <c r="G258" s="24"/>
      <c r="H258" s="25">
        <f>Setari!$B$3</f>
        <v>0.25</v>
      </c>
      <c r="I258" s="26" t="str">
        <f t="shared" si="75"/>
        <v/>
      </c>
      <c r="J258" s="22"/>
      <c r="K258" s="23"/>
    </row>
    <row r="259" spans="1:11">
      <c r="A259" s="22" t="s">
        <v>202</v>
      </c>
      <c r="B259" s="22" t="s">
        <v>203</v>
      </c>
      <c r="C259" s="23" t="s">
        <v>204</v>
      </c>
      <c r="D259" s="22" t="s">
        <v>69</v>
      </c>
      <c r="E259" s="22">
        <v>50</v>
      </c>
      <c r="F259" s="22" t="s">
        <v>70</v>
      </c>
      <c r="G259" s="24">
        <v>560</v>
      </c>
      <c r="H259" s="25">
        <f>Setari!$B$3</f>
        <v>0.25</v>
      </c>
      <c r="I259" s="26">
        <f t="shared" si="75"/>
        <v>700</v>
      </c>
      <c r="J259" s="22"/>
      <c r="K259" s="23"/>
    </row>
    <row r="260" spans="1:11">
      <c r="A260" s="22" t="s">
        <v>205</v>
      </c>
      <c r="B260" s="22" t="s">
        <v>203</v>
      </c>
      <c r="C260" s="23" t="s">
        <v>206</v>
      </c>
      <c r="D260" s="22" t="s">
        <v>69</v>
      </c>
      <c r="E260" s="22">
        <v>50</v>
      </c>
      <c r="F260" s="22" t="s">
        <v>70</v>
      </c>
      <c r="G260" s="24"/>
      <c r="H260" s="25">
        <f>Setari!$B$3</f>
        <v>0.25</v>
      </c>
      <c r="I260" s="26" t="str">
        <f t="shared" si="75"/>
        <v/>
      </c>
      <c r="J260" s="22"/>
      <c r="K260" s="23"/>
    </row>
    <row r="261" spans="1:11">
      <c r="A261" s="22" t="s">
        <v>207</v>
      </c>
      <c r="B261" s="22" t="s">
        <v>203</v>
      </c>
      <c r="C261" s="23" t="s">
        <v>208</v>
      </c>
      <c r="D261" s="22" t="s">
        <v>69</v>
      </c>
      <c r="E261" s="22">
        <v>65</v>
      </c>
      <c r="F261" s="22" t="s">
        <v>70</v>
      </c>
      <c r="G261" s="24"/>
      <c r="H261" s="25">
        <f>Setari!$B$3</f>
        <v>0.25</v>
      </c>
      <c r="I261" s="26" t="str">
        <f t="shared" si="75"/>
        <v/>
      </c>
      <c r="J261" s="22"/>
      <c r="K261" s="23"/>
    </row>
    <row r="262" spans="1:11">
      <c r="A262" s="22" t="s">
        <v>209</v>
      </c>
      <c r="B262" s="22" t="s">
        <v>203</v>
      </c>
      <c r="C262" s="23" t="s">
        <v>210</v>
      </c>
      <c r="D262" s="22" t="s">
        <v>69</v>
      </c>
      <c r="E262" s="22">
        <v>65</v>
      </c>
      <c r="F262" s="22" t="s">
        <v>70</v>
      </c>
      <c r="G262" s="24"/>
      <c r="H262" s="25">
        <f>Setari!$B$3</f>
        <v>0.25</v>
      </c>
      <c r="I262" s="26" t="str">
        <f t="shared" si="75"/>
        <v/>
      </c>
      <c r="J262" s="22"/>
      <c r="K262" s="23"/>
    </row>
    <row r="263" spans="1:11">
      <c r="A263" s="22" t="s">
        <v>211</v>
      </c>
      <c r="B263" s="22" t="s">
        <v>203</v>
      </c>
      <c r="C263" s="23" t="s">
        <v>212</v>
      </c>
      <c r="D263" s="22" t="s">
        <v>69</v>
      </c>
      <c r="E263" s="22">
        <v>80</v>
      </c>
      <c r="F263" s="22" t="s">
        <v>70</v>
      </c>
      <c r="G263" s="24"/>
      <c r="H263" s="25">
        <f>Setari!$B$3</f>
        <v>0.25</v>
      </c>
      <c r="I263" s="26" t="str">
        <f t="shared" si="75"/>
        <v/>
      </c>
      <c r="J263" s="22"/>
      <c r="K263" s="23"/>
    </row>
    <row r="264" spans="1:11">
      <c r="A264" s="22" t="s">
        <v>213</v>
      </c>
      <c r="B264" s="22" t="s">
        <v>203</v>
      </c>
      <c r="C264" s="23" t="s">
        <v>214</v>
      </c>
      <c r="D264" s="22" t="s">
        <v>69</v>
      </c>
      <c r="E264" s="22">
        <v>80</v>
      </c>
      <c r="F264" s="22" t="s">
        <v>70</v>
      </c>
      <c r="G264" s="24"/>
      <c r="H264" s="25">
        <f>Setari!$B$3</f>
        <v>0.25</v>
      </c>
      <c r="I264" s="26" t="str">
        <f t="shared" si="75"/>
        <v/>
      </c>
      <c r="J264" s="22"/>
      <c r="K264" s="23"/>
    </row>
    <row r="265" spans="1:11">
      <c r="A265" s="22" t="s">
        <v>50</v>
      </c>
      <c r="B265" s="22" t="s">
        <v>203</v>
      </c>
      <c r="C265" s="23" t="s">
        <v>215</v>
      </c>
      <c r="D265" s="22" t="s">
        <v>69</v>
      </c>
      <c r="E265" s="22">
        <v>100</v>
      </c>
      <c r="F265" s="22" t="s">
        <v>70</v>
      </c>
      <c r="G265" s="24"/>
      <c r="H265" s="25">
        <f>Setari!$B$3</f>
        <v>0.25</v>
      </c>
      <c r="I265" s="26" t="str">
        <f t="shared" si="75"/>
        <v/>
      </c>
      <c r="J265" s="22"/>
      <c r="K265" s="23"/>
    </row>
    <row r="266" spans="1:11">
      <c r="A266" s="22" t="s">
        <v>216</v>
      </c>
      <c r="B266" s="22" t="s">
        <v>203</v>
      </c>
      <c r="C266" s="23" t="s">
        <v>217</v>
      </c>
      <c r="D266" s="22" t="s">
        <v>69</v>
      </c>
      <c r="E266" s="22">
        <v>100</v>
      </c>
      <c r="F266" s="22" t="s">
        <v>70</v>
      </c>
      <c r="G266" s="24"/>
      <c r="H266" s="25">
        <f>Setari!$B$3</f>
        <v>0.25</v>
      </c>
      <c r="I266" s="26" t="str">
        <f t="shared" si="75"/>
        <v/>
      </c>
      <c r="J266" s="22"/>
      <c r="K266" s="23"/>
    </row>
    <row r="267" spans="1:11">
      <c r="A267" s="22" t="s">
        <v>218</v>
      </c>
      <c r="B267" s="22" t="s">
        <v>203</v>
      </c>
      <c r="C267" s="23" t="s">
        <v>219</v>
      </c>
      <c r="D267" s="22" t="s">
        <v>69</v>
      </c>
      <c r="E267" s="22">
        <v>125</v>
      </c>
      <c r="F267" s="22" t="s">
        <v>70</v>
      </c>
      <c r="G267" s="24"/>
      <c r="H267" s="25">
        <f>Setari!$B$3</f>
        <v>0.25</v>
      </c>
      <c r="I267" s="26" t="str">
        <f t="shared" si="75"/>
        <v/>
      </c>
      <c r="J267" s="22"/>
      <c r="K267" s="23"/>
    </row>
    <row r="268" spans="1:11">
      <c r="A268" s="22" t="s">
        <v>220</v>
      </c>
      <c r="B268" s="22" t="s">
        <v>203</v>
      </c>
      <c r="C268" s="23" t="s">
        <v>221</v>
      </c>
      <c r="D268" s="22" t="s">
        <v>69</v>
      </c>
      <c r="E268" s="22">
        <v>125</v>
      </c>
      <c r="F268" s="22" t="s">
        <v>70</v>
      </c>
      <c r="G268" s="24"/>
      <c r="H268" s="25">
        <f>Setari!$B$3</f>
        <v>0.25</v>
      </c>
      <c r="I268" s="26" t="str">
        <f t="shared" si="75"/>
        <v/>
      </c>
      <c r="J268" s="22"/>
      <c r="K268" s="23"/>
    </row>
    <row r="269" spans="1:11">
      <c r="A269" s="22" t="s">
        <v>222</v>
      </c>
      <c r="B269" s="22" t="s">
        <v>203</v>
      </c>
      <c r="C269" s="23" t="s">
        <v>223</v>
      </c>
      <c r="D269" s="22" t="s">
        <v>69</v>
      </c>
      <c r="E269" s="22">
        <v>150</v>
      </c>
      <c r="F269" s="22" t="s">
        <v>70</v>
      </c>
      <c r="G269" s="24"/>
      <c r="H269" s="25">
        <f>Setari!$B$3</f>
        <v>0.25</v>
      </c>
      <c r="I269" s="26" t="str">
        <f t="shared" si="75"/>
        <v/>
      </c>
      <c r="J269" s="22"/>
      <c r="K269" s="23"/>
    </row>
    <row r="270" spans="1:11">
      <c r="A270" s="22" t="s">
        <v>224</v>
      </c>
      <c r="B270" s="22" t="s">
        <v>203</v>
      </c>
      <c r="C270" s="23" t="s">
        <v>225</v>
      </c>
      <c r="D270" s="22" t="s">
        <v>69</v>
      </c>
      <c r="E270" s="22">
        <v>150</v>
      </c>
      <c r="F270" s="22" t="s">
        <v>70</v>
      </c>
      <c r="G270" s="24"/>
      <c r="H270" s="25">
        <f>Setari!$B$3</f>
        <v>0.25</v>
      </c>
      <c r="I270" s="26" t="str">
        <f t="shared" si="75"/>
        <v/>
      </c>
      <c r="J270" s="22"/>
      <c r="K270" s="23"/>
    </row>
    <row r="271" spans="1:11">
      <c r="A271" s="22" t="s">
        <v>226</v>
      </c>
      <c r="B271" s="22" t="s">
        <v>203</v>
      </c>
      <c r="C271" s="23" t="s">
        <v>227</v>
      </c>
      <c r="D271" s="22" t="s">
        <v>69</v>
      </c>
      <c r="E271" s="22">
        <v>15</v>
      </c>
      <c r="F271" s="22" t="s">
        <v>70</v>
      </c>
      <c r="G271" s="24"/>
      <c r="H271" s="25">
        <f>Setari!$B$3</f>
        <v>0.25</v>
      </c>
      <c r="I271" s="26" t="str">
        <f t="shared" si="75"/>
        <v/>
      </c>
      <c r="J271" s="22"/>
      <c r="K271" s="23"/>
    </row>
    <row r="272" spans="1:11">
      <c r="A272" s="22" t="s">
        <v>228</v>
      </c>
      <c r="B272" s="22" t="s">
        <v>203</v>
      </c>
      <c r="C272" s="23" t="s">
        <v>229</v>
      </c>
      <c r="D272" s="22" t="s">
        <v>69</v>
      </c>
      <c r="E272" s="22">
        <v>20</v>
      </c>
      <c r="F272" s="22" t="s">
        <v>70</v>
      </c>
      <c r="G272" s="24"/>
      <c r="H272" s="25">
        <f>Setari!$B$3</f>
        <v>0.25</v>
      </c>
      <c r="I272" s="26" t="str">
        <f t="shared" si="75"/>
        <v/>
      </c>
      <c r="J272" s="22"/>
      <c r="K272" s="23"/>
    </row>
    <row r="273" spans="1:11">
      <c r="A273" s="22" t="s">
        <v>230</v>
      </c>
      <c r="B273" s="22" t="s">
        <v>203</v>
      </c>
      <c r="C273" s="23" t="s">
        <v>231</v>
      </c>
      <c r="D273" s="22" t="s">
        <v>69</v>
      </c>
      <c r="E273" s="22">
        <v>25</v>
      </c>
      <c r="F273" s="22" t="s">
        <v>70</v>
      </c>
      <c r="G273" s="24"/>
      <c r="H273" s="25">
        <f>Setari!$B$3</f>
        <v>0.25</v>
      </c>
      <c r="I273" s="26" t="str">
        <f t="shared" si="75"/>
        <v/>
      </c>
      <c r="J273" s="22"/>
      <c r="K273" s="23"/>
    </row>
    <row r="274" spans="1:11">
      <c r="A274" s="22" t="s">
        <v>232</v>
      </c>
      <c r="B274" s="22" t="s">
        <v>203</v>
      </c>
      <c r="C274" s="23" t="s">
        <v>233</v>
      </c>
      <c r="D274" s="22" t="s">
        <v>69</v>
      </c>
      <c r="E274" s="22">
        <v>32</v>
      </c>
      <c r="F274" s="22" t="s">
        <v>70</v>
      </c>
      <c r="G274" s="24"/>
      <c r="H274" s="25">
        <f>Setari!$B$3</f>
        <v>0.25</v>
      </c>
      <c r="I274" s="26" t="str">
        <f t="shared" si="75"/>
        <v/>
      </c>
      <c r="J274" s="22"/>
      <c r="K274" s="23"/>
    </row>
    <row r="275" spans="1:11">
      <c r="A275" s="22" t="s">
        <v>234</v>
      </c>
      <c r="B275" s="22" t="s">
        <v>203</v>
      </c>
      <c r="C275" s="23" t="s">
        <v>235</v>
      </c>
      <c r="D275" s="22" t="s">
        <v>69</v>
      </c>
      <c r="E275" s="22">
        <v>40</v>
      </c>
      <c r="F275" s="22" t="s">
        <v>70</v>
      </c>
      <c r="G275" s="24"/>
      <c r="H275" s="25">
        <f>Setari!$B$3</f>
        <v>0.25</v>
      </c>
      <c r="I275" s="26" t="str">
        <f t="shared" si="75"/>
        <v/>
      </c>
      <c r="J275" s="22"/>
      <c r="K275" s="23"/>
    </row>
    <row r="276" spans="1:11">
      <c r="A276" s="22" t="s">
        <v>236</v>
      </c>
      <c r="B276" s="22" t="s">
        <v>203</v>
      </c>
      <c r="C276" s="23" t="s">
        <v>237</v>
      </c>
      <c r="D276" s="22" t="s">
        <v>69</v>
      </c>
      <c r="E276" s="22">
        <v>50</v>
      </c>
      <c r="F276" s="22" t="s">
        <v>70</v>
      </c>
      <c r="G276" s="24"/>
      <c r="H276" s="25">
        <f>Setari!$B$3</f>
        <v>0.25</v>
      </c>
      <c r="I276" s="26" t="str">
        <f t="shared" si="75"/>
        <v/>
      </c>
      <c r="J276" s="22"/>
      <c r="K276" s="23"/>
    </row>
    <row r="277" spans="1:11">
      <c r="A277" s="22" t="s">
        <v>51</v>
      </c>
      <c r="B277" s="22" t="s">
        <v>203</v>
      </c>
      <c r="C277" s="23" t="s">
        <v>238</v>
      </c>
      <c r="D277" s="22" t="s">
        <v>69</v>
      </c>
      <c r="E277" s="22" t="s">
        <v>69</v>
      </c>
      <c r="F277" s="22" t="s">
        <v>70</v>
      </c>
      <c r="G277" s="24"/>
      <c r="H277" s="25">
        <f>Setari!$B$3</f>
        <v>0.25</v>
      </c>
      <c r="I277" s="26" t="str">
        <f t="shared" si="75"/>
        <v/>
      </c>
      <c r="J277" s="22"/>
      <c r="K277" s="23"/>
    </row>
    <row r="278" spans="1:11">
      <c r="A278" s="22" t="s">
        <v>239</v>
      </c>
      <c r="B278" s="22" t="s">
        <v>203</v>
      </c>
      <c r="C278" s="23" t="s">
        <v>240</v>
      </c>
      <c r="D278" s="22" t="s">
        <v>69</v>
      </c>
      <c r="E278" s="22" t="s">
        <v>69</v>
      </c>
      <c r="F278" s="22" t="s">
        <v>241</v>
      </c>
      <c r="G278" s="24"/>
      <c r="H278" s="25">
        <f>Setari!$B$3</f>
        <v>0.25</v>
      </c>
      <c r="I278" s="26" t="str">
        <f t="shared" si="75"/>
        <v/>
      </c>
      <c r="J278" s="22"/>
      <c r="K278" s="23"/>
    </row>
    <row r="279" spans="1:11">
      <c r="A279" s="22" t="s">
        <v>242</v>
      </c>
      <c r="B279" s="22" t="s">
        <v>203</v>
      </c>
      <c r="C279" s="23" t="s">
        <v>243</v>
      </c>
      <c r="D279" s="22" t="s">
        <v>69</v>
      </c>
      <c r="E279" s="22" t="s">
        <v>69</v>
      </c>
      <c r="F279" s="22" t="s">
        <v>241</v>
      </c>
      <c r="G279" s="24"/>
      <c r="H279" s="25">
        <f>Setari!$B$3</f>
        <v>0.25</v>
      </c>
      <c r="I279" s="26" t="str">
        <f t="shared" si="75"/>
        <v/>
      </c>
      <c r="J279" s="22"/>
      <c r="K279" s="23"/>
    </row>
    <row r="280" spans="1:11">
      <c r="A280" s="22" t="s">
        <v>52</v>
      </c>
      <c r="B280" s="22" t="s">
        <v>244</v>
      </c>
      <c r="C280" s="23" t="s">
        <v>245</v>
      </c>
      <c r="D280" s="22" t="s">
        <v>69</v>
      </c>
      <c r="E280" s="22" t="s">
        <v>69</v>
      </c>
      <c r="F280" s="22" t="s">
        <v>70</v>
      </c>
      <c r="G280" s="24"/>
      <c r="H280" s="25">
        <f>Setari!$B$3</f>
        <v>0.25</v>
      </c>
      <c r="I280" s="26" t="str">
        <f t="shared" si="75"/>
        <v/>
      </c>
      <c r="J280" s="22"/>
      <c r="K280" s="23"/>
    </row>
    <row r="281" spans="1:11">
      <c r="A281" s="22" t="s">
        <v>53</v>
      </c>
      <c r="B281" s="22" t="s">
        <v>244</v>
      </c>
      <c r="C281" s="23" t="s">
        <v>246</v>
      </c>
      <c r="D281" s="22" t="s">
        <v>69</v>
      </c>
      <c r="E281" s="22" t="s">
        <v>69</v>
      </c>
      <c r="F281" s="22" t="s">
        <v>70</v>
      </c>
      <c r="G281" s="24"/>
      <c r="H281" s="25">
        <f>Setari!$B$3</f>
        <v>0.25</v>
      </c>
      <c r="I281" s="26" t="str">
        <f t="shared" si="75"/>
        <v/>
      </c>
      <c r="J281" s="22"/>
      <c r="K281" s="23"/>
    </row>
    <row r="282" spans="1:11">
      <c r="A282" s="22" t="s">
        <v>247</v>
      </c>
      <c r="B282" s="22" t="s">
        <v>244</v>
      </c>
      <c r="C282" s="23" t="s">
        <v>248</v>
      </c>
      <c r="D282" s="22" t="s">
        <v>69</v>
      </c>
      <c r="E282" s="22" t="s">
        <v>69</v>
      </c>
      <c r="F282" s="22" t="s">
        <v>70</v>
      </c>
      <c r="G282" s="24">
        <v>45000</v>
      </c>
      <c r="H282" s="25">
        <f>Setari!$B$3</f>
        <v>0.25</v>
      </c>
      <c r="I282" s="26">
        <f t="shared" si="75"/>
        <v>56250</v>
      </c>
      <c r="J282" s="22"/>
      <c r="K282" s="23"/>
    </row>
    <row r="283" spans="1:11">
      <c r="A283" s="22" t="s">
        <v>249</v>
      </c>
      <c r="B283" s="22" t="s">
        <v>244</v>
      </c>
      <c r="C283" s="23" t="s">
        <v>250</v>
      </c>
      <c r="D283" s="22" t="s">
        <v>69</v>
      </c>
      <c r="E283" s="22" t="s">
        <v>69</v>
      </c>
      <c r="F283" s="22" t="s">
        <v>70</v>
      </c>
      <c r="G283" s="24"/>
      <c r="H283" s="25">
        <f>Setari!$B$3</f>
        <v>0.25</v>
      </c>
      <c r="I283" s="26" t="str">
        <f t="shared" si="75"/>
        <v/>
      </c>
      <c r="J283" s="22"/>
      <c r="K283" s="23"/>
    </row>
    <row r="284" spans="1:11">
      <c r="A284" s="22" t="s">
        <v>251</v>
      </c>
      <c r="B284" s="22" t="s">
        <v>244</v>
      </c>
      <c r="C284" s="23" t="s">
        <v>252</v>
      </c>
      <c r="D284" s="22" t="s">
        <v>69</v>
      </c>
      <c r="E284" s="22" t="s">
        <v>69</v>
      </c>
      <c r="F284" s="22" t="s">
        <v>70</v>
      </c>
      <c r="G284" s="24"/>
      <c r="H284" s="25">
        <f>Setari!$B$3</f>
        <v>0.25</v>
      </c>
      <c r="I284" s="26" t="str">
        <f t="shared" si="75"/>
        <v/>
      </c>
      <c r="J284" s="22"/>
      <c r="K284" s="23"/>
    </row>
    <row r="285" spans="1:11">
      <c r="A285" s="22" t="s">
        <v>253</v>
      </c>
      <c r="B285" s="22" t="s">
        <v>244</v>
      </c>
      <c r="C285" s="23" t="s">
        <v>254</v>
      </c>
      <c r="D285" s="22" t="s">
        <v>69</v>
      </c>
      <c r="E285" s="22" t="s">
        <v>69</v>
      </c>
      <c r="F285" s="22" t="s">
        <v>70</v>
      </c>
      <c r="G285" s="24"/>
      <c r="H285" s="25">
        <f>Setari!$B$3</f>
        <v>0.25</v>
      </c>
      <c r="I285" s="26" t="str">
        <f t="shared" si="75"/>
        <v/>
      </c>
      <c r="J285" s="22"/>
      <c r="K285" s="23"/>
    </row>
    <row r="286" spans="1:11">
      <c r="A286" s="22" t="s">
        <v>255</v>
      </c>
      <c r="B286" s="22" t="s">
        <v>256</v>
      </c>
      <c r="C286" s="23" t="s">
        <v>257</v>
      </c>
      <c r="D286" s="22" t="s">
        <v>69</v>
      </c>
      <c r="E286" s="22" t="s">
        <v>69</v>
      </c>
      <c r="F286" s="22" t="s">
        <v>75</v>
      </c>
      <c r="G286" s="24"/>
      <c r="H286" s="25">
        <f>Setari!$B$3</f>
        <v>0.25</v>
      </c>
      <c r="I286" s="26" t="str">
        <f t="shared" si="75"/>
        <v/>
      </c>
      <c r="J286" s="22"/>
      <c r="K286" s="23"/>
    </row>
    <row r="287" spans="1:11">
      <c r="A287" s="22" t="s">
        <v>258</v>
      </c>
      <c r="B287" s="22" t="s">
        <v>256</v>
      </c>
      <c r="C287" s="23" t="s">
        <v>259</v>
      </c>
      <c r="D287" s="22" t="s">
        <v>69</v>
      </c>
      <c r="E287" s="22" t="s">
        <v>69</v>
      </c>
      <c r="F287" s="22" t="s">
        <v>70</v>
      </c>
      <c r="G287" s="24"/>
      <c r="H287" s="25">
        <f>Setari!$B$3</f>
        <v>0.25</v>
      </c>
      <c r="I287" s="26" t="str">
        <f t="shared" si="75"/>
        <v/>
      </c>
      <c r="J287" s="22"/>
      <c r="K287" s="23"/>
    </row>
    <row r="288" spans="1:11">
      <c r="A288" s="22" t="s">
        <v>260</v>
      </c>
      <c r="B288" s="22" t="s">
        <v>256</v>
      </c>
      <c r="C288" s="23" t="s">
        <v>261</v>
      </c>
      <c r="D288" s="22" t="s">
        <v>69</v>
      </c>
      <c r="E288" s="22" t="s">
        <v>69</v>
      </c>
      <c r="F288" s="22" t="s">
        <v>70</v>
      </c>
      <c r="G288" s="24"/>
      <c r="H288" s="25">
        <f>Setari!$B$3</f>
        <v>0.25</v>
      </c>
      <c r="I288" s="26" t="str">
        <f t="shared" si="75"/>
        <v/>
      </c>
      <c r="J288" s="22"/>
      <c r="K288" s="23"/>
    </row>
    <row r="289" spans="1:11">
      <c r="A289" s="22" t="s">
        <v>262</v>
      </c>
      <c r="B289" s="22" t="s">
        <v>256</v>
      </c>
      <c r="C289" s="23" t="s">
        <v>263</v>
      </c>
      <c r="D289" s="22" t="s">
        <v>69</v>
      </c>
      <c r="E289" s="22" t="s">
        <v>69</v>
      </c>
      <c r="F289" s="22" t="s">
        <v>70</v>
      </c>
      <c r="G289" s="24"/>
      <c r="H289" s="25">
        <f>Setari!$B$3</f>
        <v>0.25</v>
      </c>
      <c r="I289" s="26" t="str">
        <f t="shared" si="75"/>
        <v/>
      </c>
      <c r="J289" s="22"/>
      <c r="K289" s="23"/>
    </row>
    <row r="290" spans="1:11">
      <c r="A290" s="22" t="s">
        <v>55</v>
      </c>
      <c r="B290" s="22" t="s">
        <v>256</v>
      </c>
      <c r="C290" s="23" t="s">
        <v>264</v>
      </c>
      <c r="D290" s="22" t="s">
        <v>69</v>
      </c>
      <c r="E290" s="22" t="s">
        <v>69</v>
      </c>
      <c r="F290" s="22" t="s">
        <v>75</v>
      </c>
      <c r="G290" s="24">
        <v>12.4</v>
      </c>
      <c r="H290" s="25">
        <f>Setari!$B$3</f>
        <v>0.25</v>
      </c>
      <c r="I290" s="26">
        <f t="shared" si="75"/>
        <v>15.5</v>
      </c>
      <c r="J290" s="22"/>
      <c r="K290" s="23"/>
    </row>
    <row r="291" spans="1:11">
      <c r="A291" s="22" t="s">
        <v>265</v>
      </c>
      <c r="B291" s="22" t="s">
        <v>256</v>
      </c>
      <c r="C291" s="23" t="s">
        <v>266</v>
      </c>
      <c r="D291" s="22" t="s">
        <v>69</v>
      </c>
      <c r="E291" s="22" t="s">
        <v>69</v>
      </c>
      <c r="F291" s="22" t="s">
        <v>70</v>
      </c>
      <c r="G291" s="24">
        <v>0.3</v>
      </c>
      <c r="H291" s="25">
        <f>Setari!$B$3</f>
        <v>0.25</v>
      </c>
      <c r="I291" s="26">
        <f t="shared" si="75"/>
        <v>0.375</v>
      </c>
      <c r="J291" s="22"/>
      <c r="K291" s="23"/>
    </row>
    <row r="292" spans="1:11">
      <c r="A292" s="22" t="s">
        <v>267</v>
      </c>
      <c r="B292" s="22" t="s">
        <v>256</v>
      </c>
      <c r="C292" s="23" t="s">
        <v>268</v>
      </c>
      <c r="D292" s="22" t="s">
        <v>69</v>
      </c>
      <c r="E292" s="22" t="s">
        <v>69</v>
      </c>
      <c r="F292" s="22" t="s">
        <v>70</v>
      </c>
      <c r="G292" s="24">
        <v>0.5</v>
      </c>
      <c r="H292" s="25">
        <f>Setari!$B$3</f>
        <v>0.25</v>
      </c>
      <c r="I292" s="26">
        <f t="shared" si="75"/>
        <v>0.625</v>
      </c>
      <c r="J292" s="22"/>
      <c r="K292" s="23"/>
    </row>
    <row r="293" spans="1:11">
      <c r="A293" s="22" t="s">
        <v>269</v>
      </c>
      <c r="B293" s="22" t="s">
        <v>256</v>
      </c>
      <c r="C293" s="23" t="s">
        <v>270</v>
      </c>
      <c r="D293" s="22" t="s">
        <v>69</v>
      </c>
      <c r="E293" s="22" t="s">
        <v>69</v>
      </c>
      <c r="F293" s="22" t="s">
        <v>70</v>
      </c>
      <c r="G293" s="24">
        <v>4.2</v>
      </c>
      <c r="H293" s="25">
        <f>Setari!$B$3</f>
        <v>0.25</v>
      </c>
      <c r="I293" s="26">
        <f t="shared" si="75"/>
        <v>5.25</v>
      </c>
      <c r="J293" s="22"/>
      <c r="K293" s="23"/>
    </row>
    <row r="294" spans="1:11">
      <c r="A294" s="22" t="s">
        <v>271</v>
      </c>
      <c r="B294" s="22" t="s">
        <v>256</v>
      </c>
      <c r="C294" s="23" t="s">
        <v>272</v>
      </c>
      <c r="D294" s="22" t="s">
        <v>69</v>
      </c>
      <c r="E294" s="22" t="s">
        <v>69</v>
      </c>
      <c r="F294" s="22" t="s">
        <v>75</v>
      </c>
      <c r="G294" s="24"/>
      <c r="H294" s="25">
        <f>Setari!$B$3</f>
        <v>0.25</v>
      </c>
      <c r="I294" s="26" t="str">
        <f t="shared" si="75"/>
        <v/>
      </c>
      <c r="J294" s="22"/>
      <c r="K294" s="23"/>
    </row>
    <row r="295" spans="1:11">
      <c r="A295" s="22" t="s">
        <v>273</v>
      </c>
      <c r="B295" s="22" t="s">
        <v>256</v>
      </c>
      <c r="C295" s="23" t="s">
        <v>274</v>
      </c>
      <c r="D295" s="22" t="s">
        <v>69</v>
      </c>
      <c r="E295" s="22" t="s">
        <v>69</v>
      </c>
      <c r="F295" s="22" t="s">
        <v>70</v>
      </c>
      <c r="G295" s="24"/>
      <c r="H295" s="25">
        <f>Setari!$B$3</f>
        <v>0.25</v>
      </c>
      <c r="I295" s="26" t="str">
        <f t="shared" si="75"/>
        <v/>
      </c>
      <c r="J295" s="22"/>
      <c r="K295" s="23"/>
    </row>
    <row r="296" spans="1:11">
      <c r="A296" s="22" t="s">
        <v>275</v>
      </c>
      <c r="B296" s="22" t="s">
        <v>256</v>
      </c>
      <c r="C296" s="23" t="s">
        <v>276</v>
      </c>
      <c r="D296" s="22" t="s">
        <v>69</v>
      </c>
      <c r="E296" s="22" t="s">
        <v>69</v>
      </c>
      <c r="F296" s="22" t="s">
        <v>70</v>
      </c>
      <c r="G296" s="24"/>
      <c r="H296" s="25">
        <f>Setari!$B$3</f>
        <v>0.25</v>
      </c>
      <c r="I296" s="26" t="str">
        <f t="shared" si="75"/>
        <v/>
      </c>
      <c r="J296" s="22"/>
      <c r="K296" s="23"/>
    </row>
    <row r="297" spans="1:11">
      <c r="A297" s="22" t="s">
        <v>277</v>
      </c>
      <c r="B297" s="22" t="s">
        <v>256</v>
      </c>
      <c r="C297" s="23" t="s">
        <v>278</v>
      </c>
      <c r="D297" s="22" t="s">
        <v>69</v>
      </c>
      <c r="E297" s="22" t="s">
        <v>69</v>
      </c>
      <c r="F297" s="22" t="s">
        <v>70</v>
      </c>
      <c r="G297" s="24"/>
      <c r="H297" s="25">
        <f>Setari!$B$3</f>
        <v>0.25</v>
      </c>
      <c r="I297" s="26" t="str">
        <f t="shared" si="75"/>
        <v/>
      </c>
      <c r="J297" s="22"/>
      <c r="K297" s="23"/>
    </row>
    <row r="298" spans="1:11">
      <c r="A298" s="22" t="s">
        <v>279</v>
      </c>
      <c r="B298" s="22" t="s">
        <v>256</v>
      </c>
      <c r="C298" s="23" t="s">
        <v>280</v>
      </c>
      <c r="D298" s="22" t="s">
        <v>69</v>
      </c>
      <c r="E298" s="22" t="s">
        <v>69</v>
      </c>
      <c r="F298" s="22" t="s">
        <v>75</v>
      </c>
      <c r="G298" s="24"/>
      <c r="H298" s="25">
        <f>Setari!$B$3</f>
        <v>0.25</v>
      </c>
      <c r="I298" s="26" t="str">
        <f t="shared" si="75"/>
        <v/>
      </c>
      <c r="J298" s="22"/>
      <c r="K298" s="23"/>
    </row>
    <row r="299" spans="1:11">
      <c r="A299" s="22" t="s">
        <v>281</v>
      </c>
      <c r="B299" s="22" t="s">
        <v>256</v>
      </c>
      <c r="C299" s="23" t="s">
        <v>282</v>
      </c>
      <c r="D299" s="22" t="s">
        <v>69</v>
      </c>
      <c r="E299" s="22" t="s">
        <v>69</v>
      </c>
      <c r="F299" s="22" t="s">
        <v>70</v>
      </c>
      <c r="G299" s="24"/>
      <c r="H299" s="25">
        <f>Setari!$B$3</f>
        <v>0.25</v>
      </c>
      <c r="I299" s="26" t="str">
        <f t="shared" si="75"/>
        <v/>
      </c>
      <c r="J299" s="22"/>
      <c r="K299" s="23"/>
    </row>
    <row r="300" spans="1:11">
      <c r="A300" s="22" t="s">
        <v>283</v>
      </c>
      <c r="B300" s="22" t="s">
        <v>256</v>
      </c>
      <c r="C300" s="23" t="s">
        <v>284</v>
      </c>
      <c r="D300" s="22" t="s">
        <v>69</v>
      </c>
      <c r="E300" s="22" t="s">
        <v>69</v>
      </c>
      <c r="F300" s="22" t="s">
        <v>70</v>
      </c>
      <c r="G300" s="24"/>
      <c r="H300" s="25">
        <f>Setari!$B$3</f>
        <v>0.25</v>
      </c>
      <c r="I300" s="26" t="str">
        <f t="shared" si="75"/>
        <v/>
      </c>
      <c r="J300" s="22"/>
      <c r="K300" s="23"/>
    </row>
    <row r="301" spans="1:11">
      <c r="A301" s="22" t="s">
        <v>285</v>
      </c>
      <c r="B301" s="22" t="s">
        <v>256</v>
      </c>
      <c r="C301" s="23" t="s">
        <v>286</v>
      </c>
      <c r="D301" s="22" t="s">
        <v>69</v>
      </c>
      <c r="E301" s="22" t="s">
        <v>69</v>
      </c>
      <c r="F301" s="22" t="s">
        <v>70</v>
      </c>
      <c r="G301" s="24"/>
      <c r="H301" s="25">
        <f>Setari!$B$3</f>
        <v>0.25</v>
      </c>
      <c r="I301" s="26" t="str">
        <f t="shared" ref="I301:I325" si="78">IF(G301="","",G301*(1+H301))</f>
        <v/>
      </c>
      <c r="J301" s="22"/>
      <c r="K301" s="23"/>
    </row>
    <row r="302" spans="1:11">
      <c r="A302" s="22" t="s">
        <v>287</v>
      </c>
      <c r="B302" s="22" t="s">
        <v>256</v>
      </c>
      <c r="C302" s="23" t="s">
        <v>288</v>
      </c>
      <c r="D302" s="22" t="s">
        <v>69</v>
      </c>
      <c r="E302" s="22" t="s">
        <v>69</v>
      </c>
      <c r="F302" s="22" t="s">
        <v>75</v>
      </c>
      <c r="G302" s="24"/>
      <c r="H302" s="25">
        <f>Setari!$B$3</f>
        <v>0.25</v>
      </c>
      <c r="I302" s="26" t="str">
        <f t="shared" si="78"/>
        <v/>
      </c>
      <c r="J302" s="22"/>
      <c r="K302" s="23"/>
    </row>
    <row r="303" spans="1:11">
      <c r="A303" s="22" t="s">
        <v>289</v>
      </c>
      <c r="B303" s="22" t="s">
        <v>256</v>
      </c>
      <c r="C303" s="23" t="s">
        <v>290</v>
      </c>
      <c r="D303" s="22" t="s">
        <v>69</v>
      </c>
      <c r="E303" s="22" t="s">
        <v>69</v>
      </c>
      <c r="F303" s="22" t="s">
        <v>70</v>
      </c>
      <c r="G303" s="24"/>
      <c r="H303" s="25">
        <f>Setari!$B$3</f>
        <v>0.25</v>
      </c>
      <c r="I303" s="26" t="str">
        <f t="shared" si="78"/>
        <v/>
      </c>
      <c r="J303" s="22"/>
      <c r="K303" s="23"/>
    </row>
    <row r="304" spans="1:11">
      <c r="A304" s="22" t="s">
        <v>291</v>
      </c>
      <c r="B304" s="22" t="s">
        <v>256</v>
      </c>
      <c r="C304" s="23" t="s">
        <v>292</v>
      </c>
      <c r="D304" s="22" t="s">
        <v>69</v>
      </c>
      <c r="E304" s="22" t="s">
        <v>69</v>
      </c>
      <c r="F304" s="22" t="s">
        <v>70</v>
      </c>
      <c r="G304" s="24"/>
      <c r="H304" s="25">
        <f>Setari!$B$3</f>
        <v>0.25</v>
      </c>
      <c r="I304" s="26" t="str">
        <f t="shared" si="78"/>
        <v/>
      </c>
      <c r="J304" s="22"/>
      <c r="K304" s="23"/>
    </row>
    <row r="305" spans="1:11">
      <c r="A305" s="22" t="s">
        <v>293</v>
      </c>
      <c r="B305" s="22" t="s">
        <v>256</v>
      </c>
      <c r="C305" s="23" t="s">
        <v>294</v>
      </c>
      <c r="D305" s="22" t="s">
        <v>69</v>
      </c>
      <c r="E305" s="22" t="s">
        <v>69</v>
      </c>
      <c r="F305" s="22" t="s">
        <v>70</v>
      </c>
      <c r="G305" s="24"/>
      <c r="H305" s="25">
        <f>Setari!$B$3</f>
        <v>0.25</v>
      </c>
      <c r="I305" s="26" t="str">
        <f t="shared" si="78"/>
        <v/>
      </c>
      <c r="J305" s="22"/>
      <c r="K305" s="23"/>
    </row>
    <row r="306" spans="1:11">
      <c r="A306" s="22" t="s">
        <v>295</v>
      </c>
      <c r="B306" s="22" t="s">
        <v>256</v>
      </c>
      <c r="C306" s="23" t="s">
        <v>296</v>
      </c>
      <c r="D306" s="22" t="s">
        <v>69</v>
      </c>
      <c r="E306" s="22">
        <v>20</v>
      </c>
      <c r="F306" s="22" t="s">
        <v>70</v>
      </c>
      <c r="G306" s="24"/>
      <c r="H306" s="25">
        <f>Setari!$B$3</f>
        <v>0.25</v>
      </c>
      <c r="I306" s="26" t="str">
        <f t="shared" si="78"/>
        <v/>
      </c>
      <c r="J306" s="22"/>
      <c r="K306" s="23"/>
    </row>
    <row r="307" spans="1:11">
      <c r="A307" s="22" t="s">
        <v>297</v>
      </c>
      <c r="B307" s="22" t="s">
        <v>256</v>
      </c>
      <c r="C307" s="23" t="s">
        <v>298</v>
      </c>
      <c r="D307" s="22" t="s">
        <v>69</v>
      </c>
      <c r="E307" s="22">
        <v>25</v>
      </c>
      <c r="F307" s="22" t="s">
        <v>70</v>
      </c>
      <c r="G307" s="24">
        <v>12.4</v>
      </c>
      <c r="H307" s="25">
        <f>Setari!$B$3</f>
        <v>0.25</v>
      </c>
      <c r="I307" s="26">
        <f t="shared" si="78"/>
        <v>15.5</v>
      </c>
      <c r="J307" s="22"/>
      <c r="K307" s="23"/>
    </row>
    <row r="308" spans="1:11">
      <c r="A308" s="22" t="s">
        <v>299</v>
      </c>
      <c r="B308" s="22" t="s">
        <v>256</v>
      </c>
      <c r="C308" s="23" t="s">
        <v>300</v>
      </c>
      <c r="D308" s="22" t="s">
        <v>69</v>
      </c>
      <c r="E308" s="22">
        <v>32</v>
      </c>
      <c r="F308" s="22" t="s">
        <v>70</v>
      </c>
      <c r="G308" s="24">
        <v>13.25</v>
      </c>
      <c r="H308" s="25">
        <f>Setari!$B$3</f>
        <v>0.25</v>
      </c>
      <c r="I308" s="26">
        <f t="shared" si="78"/>
        <v>16.5625</v>
      </c>
      <c r="J308" s="22"/>
      <c r="K308" s="23"/>
    </row>
    <row r="309" spans="1:11">
      <c r="A309" s="22" t="s">
        <v>301</v>
      </c>
      <c r="B309" s="22" t="s">
        <v>256</v>
      </c>
      <c r="C309" s="23" t="s">
        <v>302</v>
      </c>
      <c r="D309" s="22" t="s">
        <v>69</v>
      </c>
      <c r="E309" s="22">
        <v>40</v>
      </c>
      <c r="F309" s="22" t="s">
        <v>70</v>
      </c>
      <c r="G309" s="24">
        <v>11.34</v>
      </c>
      <c r="H309" s="25">
        <f>Setari!$B$3</f>
        <v>0.25</v>
      </c>
      <c r="I309" s="26">
        <f t="shared" si="78"/>
        <v>14.175000000000001</v>
      </c>
      <c r="J309" s="22"/>
      <c r="K309" s="23"/>
    </row>
    <row r="310" spans="1:11">
      <c r="A310" s="22" t="s">
        <v>303</v>
      </c>
      <c r="B310" s="22" t="s">
        <v>256</v>
      </c>
      <c r="C310" s="23" t="s">
        <v>304</v>
      </c>
      <c r="D310" s="22" t="s">
        <v>69</v>
      </c>
      <c r="E310" s="22">
        <v>50</v>
      </c>
      <c r="F310" s="22" t="s">
        <v>70</v>
      </c>
      <c r="G310" s="24">
        <v>11.34</v>
      </c>
      <c r="H310" s="25">
        <f>Setari!$B$3</f>
        <v>0.25</v>
      </c>
      <c r="I310" s="26">
        <f t="shared" si="78"/>
        <v>14.175000000000001</v>
      </c>
      <c r="J310" s="22"/>
      <c r="K310" s="23"/>
    </row>
    <row r="311" spans="1:11">
      <c r="A311" s="22" t="s">
        <v>305</v>
      </c>
      <c r="B311" s="22" t="s">
        <v>256</v>
      </c>
      <c r="C311" s="23" t="s">
        <v>306</v>
      </c>
      <c r="D311" s="22" t="s">
        <v>69</v>
      </c>
      <c r="E311" s="22">
        <v>65</v>
      </c>
      <c r="F311" s="22" t="s">
        <v>70</v>
      </c>
      <c r="G311" s="24">
        <v>17.64</v>
      </c>
      <c r="H311" s="25">
        <f>Setari!$B$3</f>
        <v>0.25</v>
      </c>
      <c r="I311" s="26">
        <f t="shared" si="78"/>
        <v>22.05</v>
      </c>
      <c r="J311" s="22"/>
      <c r="K311" s="23"/>
    </row>
    <row r="312" spans="1:11">
      <c r="A312" s="22" t="s">
        <v>307</v>
      </c>
      <c r="B312" s="22" t="s">
        <v>256</v>
      </c>
      <c r="C312" s="23" t="s">
        <v>308</v>
      </c>
      <c r="D312" s="22" t="s">
        <v>69</v>
      </c>
      <c r="E312" s="22">
        <v>80</v>
      </c>
      <c r="F312" s="22" t="s">
        <v>70</v>
      </c>
      <c r="G312" s="24">
        <v>22.9</v>
      </c>
      <c r="H312" s="25">
        <f>Setari!$B$3</f>
        <v>0.25</v>
      </c>
      <c r="I312" s="26">
        <f t="shared" si="78"/>
        <v>28.625</v>
      </c>
      <c r="J312" s="22"/>
      <c r="K312" s="23"/>
    </row>
    <row r="313" spans="1:11">
      <c r="A313" s="22" t="s">
        <v>309</v>
      </c>
      <c r="B313" s="22" t="s">
        <v>256</v>
      </c>
      <c r="C313" s="23" t="s">
        <v>310</v>
      </c>
      <c r="D313" s="22" t="s">
        <v>69</v>
      </c>
      <c r="E313" s="22">
        <v>100</v>
      </c>
      <c r="F313" s="22" t="s">
        <v>70</v>
      </c>
      <c r="G313" s="24">
        <v>24.98</v>
      </c>
      <c r="H313" s="25">
        <f>Setari!$B$3</f>
        <v>0.25</v>
      </c>
      <c r="I313" s="26">
        <f t="shared" si="78"/>
        <v>31.225000000000001</v>
      </c>
      <c r="J313" s="22"/>
      <c r="K313" s="23"/>
    </row>
    <row r="314" spans="1:11">
      <c r="A314" s="22" t="s">
        <v>311</v>
      </c>
      <c r="B314" s="22" t="s">
        <v>256</v>
      </c>
      <c r="C314" s="23" t="s">
        <v>312</v>
      </c>
      <c r="D314" s="22" t="s">
        <v>69</v>
      </c>
      <c r="E314" s="22">
        <v>125</v>
      </c>
      <c r="F314" s="22" t="s">
        <v>70</v>
      </c>
      <c r="G314" s="24">
        <v>21.4</v>
      </c>
      <c r="H314" s="25">
        <f>Setari!$B$3</f>
        <v>0.25</v>
      </c>
      <c r="I314" s="26">
        <f t="shared" si="78"/>
        <v>26.75</v>
      </c>
      <c r="J314" s="22"/>
      <c r="K314" s="23"/>
    </row>
    <row r="315" spans="1:11">
      <c r="A315" s="22" t="s">
        <v>313</v>
      </c>
      <c r="B315" s="22" t="s">
        <v>256</v>
      </c>
      <c r="C315" s="23" t="s">
        <v>314</v>
      </c>
      <c r="D315" s="22" t="s">
        <v>69</v>
      </c>
      <c r="E315" s="22">
        <v>150</v>
      </c>
      <c r="F315" s="22" t="s">
        <v>70</v>
      </c>
      <c r="G315" s="24">
        <v>27.8</v>
      </c>
      <c r="H315" s="25">
        <f>Setari!$B$3</f>
        <v>0.25</v>
      </c>
      <c r="I315" s="26">
        <f t="shared" si="78"/>
        <v>34.75</v>
      </c>
      <c r="J315" s="22"/>
      <c r="K315" s="23"/>
    </row>
    <row r="316" spans="1:11">
      <c r="A316" s="22" t="s">
        <v>810</v>
      </c>
      <c r="B316" s="22" t="s">
        <v>256</v>
      </c>
      <c r="C316" s="23" t="s">
        <v>811</v>
      </c>
      <c r="D316" s="22" t="s">
        <v>69</v>
      </c>
      <c r="E316" s="22">
        <v>200</v>
      </c>
      <c r="F316" s="22" t="s">
        <v>70</v>
      </c>
      <c r="G316" s="24">
        <v>97.73</v>
      </c>
      <c r="H316" s="25">
        <f>Setari!$B$3</f>
        <v>0.25</v>
      </c>
      <c r="I316" s="26">
        <f t="shared" ref="I316" si="79">IF(G316="","",G316*(1+H316))</f>
        <v>122.16250000000001</v>
      </c>
      <c r="J316" s="22"/>
      <c r="K316" s="23"/>
    </row>
    <row r="317" spans="1:11">
      <c r="A317" s="22" t="s">
        <v>807</v>
      </c>
      <c r="B317" s="22" t="s">
        <v>256</v>
      </c>
      <c r="C317" t="s">
        <v>806</v>
      </c>
      <c r="D317" s="22" t="s">
        <v>69</v>
      </c>
      <c r="E317" s="22">
        <v>150</v>
      </c>
      <c r="F317" s="22" t="s">
        <v>70</v>
      </c>
      <c r="G317" s="24">
        <v>40</v>
      </c>
      <c r="H317" s="25">
        <f>Setari!$B$3</f>
        <v>0.25</v>
      </c>
      <c r="I317" s="26">
        <f t="shared" ref="I317" si="80">IF(G317="","",G317*(1+H317))</f>
        <v>50</v>
      </c>
      <c r="J317" s="22"/>
      <c r="K317" s="23"/>
    </row>
    <row r="318" spans="1:11">
      <c r="A318" s="22" t="s">
        <v>54</v>
      </c>
      <c r="B318" s="22" t="s">
        <v>315</v>
      </c>
      <c r="C318" s="23" t="s">
        <v>316</v>
      </c>
      <c r="D318" s="22" t="s">
        <v>69</v>
      </c>
      <c r="E318" s="22" t="s">
        <v>69</v>
      </c>
      <c r="F318" s="22" t="s">
        <v>75</v>
      </c>
      <c r="G318" s="24"/>
      <c r="H318" s="25">
        <f>Setari!$B$3</f>
        <v>0.25</v>
      </c>
      <c r="I318" s="26" t="str">
        <f t="shared" si="78"/>
        <v/>
      </c>
      <c r="J318" s="22"/>
      <c r="K318" s="23"/>
    </row>
    <row r="319" spans="1:11">
      <c r="A319" s="22" t="s">
        <v>317</v>
      </c>
      <c r="B319" s="22" t="s">
        <v>315</v>
      </c>
      <c r="C319" s="23" t="s">
        <v>318</v>
      </c>
      <c r="D319" s="22" t="s">
        <v>69</v>
      </c>
      <c r="E319" s="22" t="s">
        <v>69</v>
      </c>
      <c r="F319" s="22" t="s">
        <v>75</v>
      </c>
      <c r="G319" s="24"/>
      <c r="H319" s="25">
        <f>Setari!$B$3</f>
        <v>0.25</v>
      </c>
      <c r="I319" s="26" t="str">
        <f t="shared" si="78"/>
        <v/>
      </c>
      <c r="J319" s="22"/>
      <c r="K319" s="23"/>
    </row>
    <row r="320" spans="1:11">
      <c r="A320" s="22" t="s">
        <v>319</v>
      </c>
      <c r="B320" s="22" t="s">
        <v>315</v>
      </c>
      <c r="C320" s="23" t="s">
        <v>320</v>
      </c>
      <c r="D320" s="22" t="s">
        <v>69</v>
      </c>
      <c r="E320" s="22" t="s">
        <v>69</v>
      </c>
      <c r="F320" s="22" t="s">
        <v>70</v>
      </c>
      <c r="G320" s="24"/>
      <c r="H320" s="25">
        <f>Setari!$B$3</f>
        <v>0.25</v>
      </c>
      <c r="I320" s="26" t="str">
        <f t="shared" si="78"/>
        <v/>
      </c>
      <c r="J320" s="22"/>
      <c r="K320" s="23"/>
    </row>
    <row r="321" spans="1:11">
      <c r="A321" s="22" t="s">
        <v>321</v>
      </c>
      <c r="B321" s="22" t="s">
        <v>315</v>
      </c>
      <c r="C321" s="23" t="s">
        <v>322</v>
      </c>
      <c r="D321" s="22" t="s">
        <v>69</v>
      </c>
      <c r="E321" s="22" t="s">
        <v>69</v>
      </c>
      <c r="F321" s="22" t="s">
        <v>70</v>
      </c>
      <c r="G321" s="24"/>
      <c r="H321" s="25">
        <f>Setari!$B$3</f>
        <v>0.25</v>
      </c>
      <c r="I321" s="26" t="str">
        <f t="shared" si="78"/>
        <v/>
      </c>
      <c r="J321" s="22"/>
      <c r="K321" s="23"/>
    </row>
    <row r="322" spans="1:11">
      <c r="A322" s="22" t="s">
        <v>56</v>
      </c>
      <c r="B322" s="22" t="s">
        <v>323</v>
      </c>
      <c r="C322" s="23" t="s">
        <v>324</v>
      </c>
      <c r="D322" s="22" t="s">
        <v>69</v>
      </c>
      <c r="E322" s="22" t="s">
        <v>69</v>
      </c>
      <c r="F322" s="22" t="s">
        <v>241</v>
      </c>
      <c r="G322" s="24"/>
      <c r="H322" s="25">
        <f>Setari!$B$3</f>
        <v>0.25</v>
      </c>
      <c r="I322" s="26" t="str">
        <f t="shared" si="78"/>
        <v/>
      </c>
      <c r="J322" s="22"/>
      <c r="K322" s="23"/>
    </row>
    <row r="323" spans="1:11">
      <c r="A323" s="22" t="s">
        <v>325</v>
      </c>
      <c r="B323" s="22" t="s">
        <v>323</v>
      </c>
      <c r="C323" s="23" t="s">
        <v>326</v>
      </c>
      <c r="D323" s="22" t="s">
        <v>69</v>
      </c>
      <c r="E323" s="22" t="s">
        <v>69</v>
      </c>
      <c r="F323" s="22" t="s">
        <v>241</v>
      </c>
      <c r="G323" s="24"/>
      <c r="H323" s="25">
        <f>Setari!$B$3</f>
        <v>0.25</v>
      </c>
      <c r="I323" s="26" t="str">
        <f t="shared" si="78"/>
        <v/>
      </c>
      <c r="J323" s="22"/>
      <c r="K323" s="23"/>
    </row>
    <row r="324" spans="1:11">
      <c r="A324" s="22" t="s">
        <v>327</v>
      </c>
      <c r="B324" s="22" t="s">
        <v>323</v>
      </c>
      <c r="C324" s="23" t="s">
        <v>328</v>
      </c>
      <c r="D324" s="22" t="s">
        <v>69</v>
      </c>
      <c r="E324" s="22" t="s">
        <v>69</v>
      </c>
      <c r="F324" s="22" t="s">
        <v>241</v>
      </c>
      <c r="G324" s="24"/>
      <c r="H324" s="25">
        <f>Setari!$B$3</f>
        <v>0.25</v>
      </c>
      <c r="I324" s="26" t="str">
        <f t="shared" si="78"/>
        <v/>
      </c>
      <c r="J324" s="22"/>
      <c r="K324" s="23"/>
    </row>
    <row r="325" spans="1:11">
      <c r="A325" s="22" t="s">
        <v>329</v>
      </c>
      <c r="B325" s="22" t="s">
        <v>323</v>
      </c>
      <c r="C325" s="23" t="s">
        <v>330</v>
      </c>
      <c r="D325" s="22" t="s">
        <v>69</v>
      </c>
      <c r="E325" s="22" t="s">
        <v>69</v>
      </c>
      <c r="F325" s="22" t="s">
        <v>241</v>
      </c>
      <c r="G325" s="24"/>
      <c r="H325" s="25">
        <f>Setari!$B$3</f>
        <v>0.25</v>
      </c>
      <c r="I325" s="26" t="str">
        <f t="shared" si="78"/>
        <v/>
      </c>
      <c r="J325" s="22"/>
      <c r="K325" s="23"/>
    </row>
  </sheetData>
  <phoneticPr fontId="16" type="noConversion"/>
  <pageMargins left="0.75" right="0.75" top="1" bottom="1" header="0.5" footer="0.5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"/>
  <sheetViews>
    <sheetView topLeftCell="A49" workbookViewId="0">
      <selection activeCell="A66" sqref="A66"/>
    </sheetView>
  </sheetViews>
  <sheetFormatPr defaultRowHeight="15"/>
  <cols>
    <col min="1" max="1" width="64" customWidth="1"/>
    <col min="2" max="2" width="20" customWidth="1"/>
    <col min="3" max="3" width="40" customWidth="1"/>
  </cols>
  <sheetData>
    <row r="1" spans="1:3">
      <c r="A1" s="21" t="s">
        <v>331</v>
      </c>
      <c r="B1" s="21" t="s">
        <v>44</v>
      </c>
      <c r="C1" s="21" t="s">
        <v>332</v>
      </c>
    </row>
    <row r="2" spans="1:3">
      <c r="A2" s="23" t="s">
        <v>333</v>
      </c>
      <c r="B2" s="27" t="s">
        <v>47</v>
      </c>
      <c r="C2" s="23" t="s">
        <v>334</v>
      </c>
    </row>
    <row r="3" spans="1:3">
      <c r="A3" s="23" t="s">
        <v>335</v>
      </c>
      <c r="B3" s="27" t="s">
        <v>47</v>
      </c>
      <c r="C3" s="23" t="s">
        <v>336</v>
      </c>
    </row>
    <row r="4" spans="1:3">
      <c r="A4" s="23" t="s">
        <v>817</v>
      </c>
      <c r="B4" s="27" t="s">
        <v>184</v>
      </c>
      <c r="C4" s="23"/>
    </row>
    <row r="5" spans="1:3">
      <c r="A5" s="23" t="s">
        <v>818</v>
      </c>
      <c r="B5" s="27" t="s">
        <v>184</v>
      </c>
      <c r="C5" s="23"/>
    </row>
    <row r="6" spans="1:3">
      <c r="A6" s="23" t="s">
        <v>819</v>
      </c>
      <c r="B6" s="27" t="s">
        <v>184</v>
      </c>
      <c r="C6" s="23"/>
    </row>
    <row r="7" spans="1:3">
      <c r="A7" s="23" t="s">
        <v>820</v>
      </c>
      <c r="B7" s="27" t="s">
        <v>184</v>
      </c>
      <c r="C7" s="23"/>
    </row>
    <row r="8" spans="1:3">
      <c r="A8" t="s">
        <v>812</v>
      </c>
      <c r="B8" s="27" t="s">
        <v>47</v>
      </c>
      <c r="C8" s="23" t="s">
        <v>340</v>
      </c>
    </row>
    <row r="9" spans="1:3">
      <c r="A9" s="23" t="s">
        <v>337</v>
      </c>
      <c r="B9" s="27" t="s">
        <v>47</v>
      </c>
      <c r="C9" s="23" t="s">
        <v>338</v>
      </c>
    </row>
    <row r="10" spans="1:3">
      <c r="A10" s="23" t="s">
        <v>339</v>
      </c>
      <c r="B10" s="27" t="s">
        <v>184</v>
      </c>
      <c r="C10" s="23" t="s">
        <v>334</v>
      </c>
    </row>
    <row r="11" spans="1:3">
      <c r="A11" s="23" t="s">
        <v>821</v>
      </c>
      <c r="B11" s="27" t="s">
        <v>184</v>
      </c>
      <c r="C11" s="23"/>
    </row>
    <row r="12" spans="1:3" ht="17.25" customHeight="1">
      <c r="A12" t="s">
        <v>813</v>
      </c>
      <c r="B12" s="27" t="s">
        <v>184</v>
      </c>
      <c r="C12" t="s">
        <v>814</v>
      </c>
    </row>
    <row r="13" spans="1:3">
      <c r="A13" s="23" t="s">
        <v>341</v>
      </c>
      <c r="B13" s="27" t="s">
        <v>77</v>
      </c>
      <c r="C13" s="23" t="s">
        <v>74</v>
      </c>
    </row>
    <row r="14" spans="1:3">
      <c r="A14" s="23" t="s">
        <v>78</v>
      </c>
      <c r="B14" s="27" t="s">
        <v>77</v>
      </c>
      <c r="C14" s="23" t="s">
        <v>74</v>
      </c>
    </row>
    <row r="15" spans="1:3">
      <c r="A15" s="23" t="s">
        <v>342</v>
      </c>
      <c r="B15" s="27" t="s">
        <v>77</v>
      </c>
      <c r="C15" s="23" t="s">
        <v>343</v>
      </c>
    </row>
    <row r="16" spans="1:3">
      <c r="A16" s="23" t="s">
        <v>344</v>
      </c>
      <c r="B16" s="27" t="s">
        <v>48</v>
      </c>
      <c r="C16" s="23" t="s">
        <v>72</v>
      </c>
    </row>
    <row r="17" spans="1:3">
      <c r="A17" s="23" t="s">
        <v>345</v>
      </c>
      <c r="B17" s="27" t="s">
        <v>48</v>
      </c>
      <c r="C17" s="23" t="s">
        <v>72</v>
      </c>
    </row>
    <row r="18" spans="1:3">
      <c r="A18" s="23" t="s">
        <v>79</v>
      </c>
      <c r="B18" s="27" t="s">
        <v>48</v>
      </c>
      <c r="C18" s="23" t="s">
        <v>72</v>
      </c>
    </row>
    <row r="19" spans="1:3">
      <c r="A19" s="23" t="s">
        <v>346</v>
      </c>
      <c r="B19" s="27" t="s">
        <v>49</v>
      </c>
      <c r="C19" s="23" t="s">
        <v>347</v>
      </c>
    </row>
    <row r="20" spans="1:3">
      <c r="A20" s="23" t="s">
        <v>90</v>
      </c>
      <c r="B20" s="27" t="s">
        <v>49</v>
      </c>
      <c r="C20" s="23" t="s">
        <v>74</v>
      </c>
    </row>
    <row r="21" spans="1:3">
      <c r="A21" s="23" t="s">
        <v>348</v>
      </c>
      <c r="B21" s="27" t="s">
        <v>91</v>
      </c>
      <c r="C21" s="23" t="s">
        <v>72</v>
      </c>
    </row>
    <row r="22" spans="1:3">
      <c r="A22" s="23" t="s">
        <v>349</v>
      </c>
      <c r="B22" s="27" t="s">
        <v>104</v>
      </c>
      <c r="C22" s="23" t="s">
        <v>347</v>
      </c>
    </row>
    <row r="23" spans="1:3">
      <c r="A23" s="23" t="s">
        <v>105</v>
      </c>
      <c r="B23" s="27" t="s">
        <v>104</v>
      </c>
      <c r="C23" s="23" t="s">
        <v>74</v>
      </c>
    </row>
    <row r="24" spans="1:3">
      <c r="A24" s="23" t="s">
        <v>350</v>
      </c>
      <c r="B24" s="27" t="s">
        <v>125</v>
      </c>
      <c r="C24" s="23" t="s">
        <v>347</v>
      </c>
    </row>
    <row r="25" spans="1:3">
      <c r="A25" s="23" t="s">
        <v>351</v>
      </c>
      <c r="B25" s="27" t="s">
        <v>156</v>
      </c>
      <c r="C25" s="23" t="s">
        <v>72</v>
      </c>
    </row>
    <row r="26" spans="1:3">
      <c r="A26" s="23" t="s">
        <v>352</v>
      </c>
      <c r="B26" s="27" t="s">
        <v>116</v>
      </c>
      <c r="C26" s="23" t="s">
        <v>347</v>
      </c>
    </row>
    <row r="27" spans="1:3">
      <c r="A27" s="23" t="s">
        <v>353</v>
      </c>
      <c r="B27" s="27" t="s">
        <v>118</v>
      </c>
      <c r="C27" s="23" t="s">
        <v>72</v>
      </c>
    </row>
    <row r="28" spans="1:3">
      <c r="A28" s="23" t="s">
        <v>354</v>
      </c>
      <c r="B28" s="27" t="s">
        <v>50</v>
      </c>
      <c r="C28" s="23" t="s">
        <v>340</v>
      </c>
    </row>
    <row r="29" spans="1:3">
      <c r="A29" s="23" t="s">
        <v>355</v>
      </c>
      <c r="B29" s="27" t="s">
        <v>50</v>
      </c>
      <c r="C29" s="23" t="s">
        <v>334</v>
      </c>
    </row>
    <row r="30" spans="1:3">
      <c r="A30" s="23" t="s">
        <v>356</v>
      </c>
      <c r="B30" s="27" t="s">
        <v>228</v>
      </c>
      <c r="C30" s="23" t="s">
        <v>340</v>
      </c>
    </row>
    <row r="31" spans="1:3">
      <c r="A31" s="23" t="s">
        <v>357</v>
      </c>
      <c r="B31" s="27" t="s">
        <v>228</v>
      </c>
      <c r="C31" s="23" t="s">
        <v>334</v>
      </c>
    </row>
    <row r="32" spans="1:3">
      <c r="A32" s="23" t="s">
        <v>358</v>
      </c>
      <c r="B32" s="27" t="s">
        <v>51</v>
      </c>
      <c r="C32" s="23" t="s">
        <v>334</v>
      </c>
    </row>
    <row r="33" spans="1:3">
      <c r="A33" s="23" t="s">
        <v>359</v>
      </c>
      <c r="B33" s="27" t="s">
        <v>51</v>
      </c>
      <c r="C33" s="23" t="s">
        <v>340</v>
      </c>
    </row>
    <row r="34" spans="1:3">
      <c r="A34" s="23" t="s">
        <v>360</v>
      </c>
      <c r="B34" s="27" t="s">
        <v>239</v>
      </c>
      <c r="C34" s="23" t="s">
        <v>340</v>
      </c>
    </row>
    <row r="35" spans="1:3">
      <c r="A35" s="23" t="s">
        <v>361</v>
      </c>
      <c r="B35" s="27" t="s">
        <v>239</v>
      </c>
      <c r="C35" s="23" t="s">
        <v>334</v>
      </c>
    </row>
    <row r="36" spans="1:3">
      <c r="A36" s="23" t="s">
        <v>399</v>
      </c>
      <c r="B36" s="27" t="s">
        <v>398</v>
      </c>
      <c r="C36" s="23" t="s">
        <v>340</v>
      </c>
    </row>
    <row r="37" spans="1:3">
      <c r="A37" t="s">
        <v>780</v>
      </c>
      <c r="B37" s="27" t="s">
        <v>398</v>
      </c>
      <c r="C37" s="23" t="s">
        <v>340</v>
      </c>
    </row>
    <row r="38" spans="1:3">
      <c r="A38" s="23" t="s">
        <v>781</v>
      </c>
      <c r="B38" s="27" t="s">
        <v>398</v>
      </c>
      <c r="C38" s="23" t="s">
        <v>343</v>
      </c>
    </row>
    <row r="39" spans="1:3">
      <c r="A39" s="23" t="s">
        <v>378</v>
      </c>
      <c r="B39" s="27" t="s">
        <v>379</v>
      </c>
      <c r="C39" s="23" t="s">
        <v>340</v>
      </c>
    </row>
    <row r="40" spans="1:3">
      <c r="A40" t="s">
        <v>782</v>
      </c>
      <c r="B40" s="27" t="s">
        <v>783</v>
      </c>
      <c r="C40" s="23" t="s">
        <v>340</v>
      </c>
    </row>
    <row r="41" spans="1:3">
      <c r="A41" t="s">
        <v>784</v>
      </c>
      <c r="B41" s="27" t="s">
        <v>384</v>
      </c>
      <c r="C41" s="23" t="s">
        <v>340</v>
      </c>
    </row>
    <row r="42" spans="1:3">
      <c r="A42" s="23" t="s">
        <v>385</v>
      </c>
      <c r="B42" s="27" t="s">
        <v>384</v>
      </c>
      <c r="C42" s="23" t="s">
        <v>340</v>
      </c>
    </row>
    <row r="43" spans="1:3">
      <c r="A43" s="23" t="s">
        <v>785</v>
      </c>
      <c r="B43" s="27" t="s">
        <v>384</v>
      </c>
      <c r="C43" s="23" t="s">
        <v>334</v>
      </c>
    </row>
    <row r="44" spans="1:3">
      <c r="A44" t="s">
        <v>786</v>
      </c>
      <c r="B44" s="27" t="s">
        <v>426</v>
      </c>
      <c r="C44" s="23" t="s">
        <v>340</v>
      </c>
    </row>
    <row r="45" spans="1:3">
      <c r="A45" t="s">
        <v>787</v>
      </c>
      <c r="B45" s="27" t="s">
        <v>430</v>
      </c>
      <c r="C45" s="23" t="s">
        <v>340</v>
      </c>
    </row>
    <row r="46" spans="1:3">
      <c r="A46" t="s">
        <v>788</v>
      </c>
      <c r="B46" s="27" t="s">
        <v>612</v>
      </c>
      <c r="C46" s="23" t="s">
        <v>340</v>
      </c>
    </row>
    <row r="47" spans="1:3">
      <c r="A47" t="s">
        <v>789</v>
      </c>
      <c r="B47" s="27" t="s">
        <v>613</v>
      </c>
      <c r="C47" s="23" t="s">
        <v>340</v>
      </c>
    </row>
    <row r="48" spans="1:3">
      <c r="A48" t="s">
        <v>790</v>
      </c>
      <c r="B48" s="27" t="s">
        <v>82</v>
      </c>
      <c r="C48" s="23" t="s">
        <v>340</v>
      </c>
    </row>
    <row r="49" spans="1:3">
      <c r="A49" t="s">
        <v>791</v>
      </c>
      <c r="B49" s="27" t="s">
        <v>84</v>
      </c>
      <c r="C49" s="23" t="s">
        <v>340</v>
      </c>
    </row>
    <row r="50" spans="1:3">
      <c r="A50" t="s">
        <v>792</v>
      </c>
      <c r="B50" s="27" t="s">
        <v>86</v>
      </c>
      <c r="C50" s="23" t="s">
        <v>340</v>
      </c>
    </row>
    <row r="51" spans="1:3">
      <c r="A51" t="s">
        <v>793</v>
      </c>
      <c r="B51" s="27" t="s">
        <v>585</v>
      </c>
      <c r="C51" s="23" t="s">
        <v>340</v>
      </c>
    </row>
    <row r="52" spans="1:3">
      <c r="A52" t="s">
        <v>794</v>
      </c>
      <c r="B52" s="27" t="s">
        <v>586</v>
      </c>
      <c r="C52" s="23" t="s">
        <v>340</v>
      </c>
    </row>
    <row r="53" spans="1:3">
      <c r="A53" t="s">
        <v>795</v>
      </c>
      <c r="B53" s="27" t="s">
        <v>125</v>
      </c>
      <c r="C53" s="23" t="s">
        <v>340</v>
      </c>
    </row>
    <row r="54" spans="1:3">
      <c r="A54" t="s">
        <v>796</v>
      </c>
      <c r="B54" s="27" t="s">
        <v>108</v>
      </c>
      <c r="C54" s="23" t="s">
        <v>340</v>
      </c>
    </row>
    <row r="55" spans="1:3">
      <c r="A55" t="s">
        <v>797</v>
      </c>
      <c r="B55" s="27" t="s">
        <v>110</v>
      </c>
      <c r="C55" s="23" t="s">
        <v>340</v>
      </c>
    </row>
    <row r="56" spans="1:3">
      <c r="A56" t="s">
        <v>798</v>
      </c>
      <c r="B56" s="27" t="s">
        <v>112</v>
      </c>
      <c r="C56" s="23" t="s">
        <v>340</v>
      </c>
    </row>
    <row r="57" spans="1:3">
      <c r="A57" t="s">
        <v>799</v>
      </c>
      <c r="B57" s="27" t="s">
        <v>643</v>
      </c>
      <c r="C57" s="23" t="s">
        <v>340</v>
      </c>
    </row>
    <row r="58" spans="1:3">
      <c r="A58" t="s">
        <v>800</v>
      </c>
      <c r="B58" s="27" t="s">
        <v>295</v>
      </c>
      <c r="C58" s="23" t="s">
        <v>340</v>
      </c>
    </row>
    <row r="59" spans="1:3">
      <c r="A59" t="s">
        <v>801</v>
      </c>
      <c r="B59" s="27" t="s">
        <v>297</v>
      </c>
      <c r="C59" s="23" t="s">
        <v>340</v>
      </c>
    </row>
    <row r="60" spans="1:3">
      <c r="A60" t="s">
        <v>802</v>
      </c>
      <c r="B60" s="27" t="s">
        <v>299</v>
      </c>
      <c r="C60" s="23" t="s">
        <v>340</v>
      </c>
    </row>
    <row r="61" spans="1:3">
      <c r="A61" t="s">
        <v>803</v>
      </c>
      <c r="B61" s="27" t="s">
        <v>307</v>
      </c>
      <c r="C61" s="23" t="s">
        <v>340</v>
      </c>
    </row>
    <row r="62" spans="1:3">
      <c r="A62" t="s">
        <v>804</v>
      </c>
      <c r="B62" s="27" t="s">
        <v>309</v>
      </c>
      <c r="C62" s="23" t="s">
        <v>340</v>
      </c>
    </row>
    <row r="63" spans="1:3">
      <c r="A63" t="s">
        <v>805</v>
      </c>
      <c r="B63" s="27" t="s">
        <v>807</v>
      </c>
      <c r="C63" s="23" t="s">
        <v>340</v>
      </c>
    </row>
    <row r="64" spans="1:3">
      <c r="A64" t="s">
        <v>822</v>
      </c>
      <c r="B64" s="27" t="s">
        <v>807</v>
      </c>
      <c r="C64" s="23" t="s">
        <v>340</v>
      </c>
    </row>
    <row r="65" spans="1:3">
      <c r="A65" t="s">
        <v>823</v>
      </c>
      <c r="B65" s="27" t="s">
        <v>807</v>
      </c>
      <c r="C65" s="23" t="s">
        <v>340</v>
      </c>
    </row>
    <row r="66" spans="1:3">
      <c r="A66" t="s">
        <v>808</v>
      </c>
      <c r="B66" s="27" t="s">
        <v>265</v>
      </c>
      <c r="C66" s="23" t="s">
        <v>340</v>
      </c>
    </row>
    <row r="67" spans="1:3">
      <c r="A67" t="s">
        <v>268</v>
      </c>
      <c r="B67" s="27" t="s">
        <v>267</v>
      </c>
      <c r="C67" s="23" t="s">
        <v>340</v>
      </c>
    </row>
    <row r="68" spans="1:3">
      <c r="A68" t="s">
        <v>809</v>
      </c>
      <c r="B68" s="27" t="s">
        <v>270</v>
      </c>
      <c r="C68" s="23" t="s">
        <v>340</v>
      </c>
    </row>
    <row r="69" spans="1:3">
      <c r="A69" t="s">
        <v>264</v>
      </c>
      <c r="B69" s="27" t="s">
        <v>55</v>
      </c>
      <c r="C69" s="23" t="s">
        <v>340</v>
      </c>
    </row>
    <row r="70" spans="1:3">
      <c r="A70" t="s">
        <v>815</v>
      </c>
      <c r="C70" t="s">
        <v>816</v>
      </c>
    </row>
  </sheetData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18" sqref="B18"/>
    </sheetView>
  </sheetViews>
  <sheetFormatPr defaultRowHeight="15"/>
  <cols>
    <col min="1" max="1" width="28" customWidth="1"/>
    <col min="2" max="2" width="85" customWidth="1"/>
  </cols>
  <sheetData>
    <row r="1" spans="1:2">
      <c r="A1" s="28" t="s">
        <v>362</v>
      </c>
      <c r="B1" s="28" t="s">
        <v>363</v>
      </c>
    </row>
    <row r="2" spans="1:2">
      <c r="A2" t="s">
        <v>364</v>
      </c>
      <c r="B2" s="29">
        <v>0.2</v>
      </c>
    </row>
    <row r="3" spans="1:2">
      <c r="A3" t="s">
        <v>365</v>
      </c>
      <c r="B3" s="29">
        <v>0.25</v>
      </c>
    </row>
    <row r="4" spans="1:2">
      <c r="A4" t="s">
        <v>366</v>
      </c>
      <c r="B4" t="s">
        <v>367</v>
      </c>
    </row>
    <row r="5" spans="1:2">
      <c r="A5" t="s">
        <v>368</v>
      </c>
      <c r="B5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KP_Client</vt:lpstr>
      <vt:lpstr>Introducere_interna</vt:lpstr>
      <vt:lpstr>Baza_preturi</vt:lpstr>
      <vt:lpstr>Sinonime</vt:lpstr>
      <vt:lpstr>Setari</vt:lpstr>
      <vt:lpstr>KP_Client!Заголовки_для_печати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2026-04-28T13:02:21Z</dcterms:created>
  <dcterms:modified xsi:type="dcterms:W3CDTF">2026-06-16T07:44:32Z</dcterms:modified>
</cp:coreProperties>
</file>